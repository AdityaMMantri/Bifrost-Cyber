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5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fig &amp; Dataset" sheetId="2" state="visible" r:id="rId2"/>
    <sheet xmlns:r="http://schemas.openxmlformats.org/officeDocument/2006/relationships" name="Epoch Metrics" sheetId="3" state="visible" r:id="rId3"/>
    <sheet xmlns:r="http://schemas.openxmlformats.org/officeDocument/2006/relationships" name="Threshold Tuning" sheetId="4" state="visible" r:id="rId4"/>
    <sheet xmlns:r="http://schemas.openxmlformats.org/officeDocument/2006/relationships" name="Test Set Results" sheetId="5" state="visible" r:id="rId5"/>
    <sheet xmlns:r="http://schemas.openxmlformats.org/officeDocument/2006/relationships" name="Session Timing" sheetId="6" state="visible" r:id="rId6"/>
    <sheet xmlns:r="http://schemas.openxmlformats.org/officeDocument/2006/relationships" name="Paper vs Our Comparison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0.0000"/>
    <numFmt numFmtId="165" formatCode="\+0.00%;\-0.00%"/>
    <numFmt numFmtId="166" formatCode="\+0.0%;\-0.0%"/>
    <numFmt numFmtId="167" formatCode="0.000"/>
    <numFmt numFmtId="168" formatCode="0.0%"/>
    <numFmt numFmtId="169" formatCode="0.00&quot;%&quot;"/>
    <numFmt numFmtId="170" formatCode="0.00&quot; pp&quot;"/>
  </numFmts>
  <fonts count="19">
    <font>
      <name val="Calibri"/>
      <charset val="1"/>
      <family val="2"/>
      <color theme="1"/>
      <sz val="11"/>
    </font>
    <font>
      <name val="Arial"/>
      <charset val="1"/>
      <b val="1"/>
      <color rgb="FFFFFFFF"/>
      <sz val="16"/>
    </font>
    <font>
      <name val="Arial"/>
      <charset val="1"/>
      <i val="1"/>
      <color rgb="FF595959"/>
      <sz val="10"/>
    </font>
    <font>
      <name val="Arial"/>
      <charset val="1"/>
      <b val="1"/>
      <color rgb="FF1F4E78"/>
      <sz val="12"/>
    </font>
    <font>
      <name val="Arial"/>
      <charset val="1"/>
      <b val="1"/>
      <color rgb="FFFFFFFF"/>
      <sz val="11"/>
    </font>
    <font>
      <name val="Arial"/>
      <charset val="1"/>
      <sz val="10"/>
    </font>
    <font>
      <name val="Arial"/>
      <charset val="1"/>
      <b val="1"/>
      <sz val="10"/>
    </font>
    <font>
      <name val="Arial"/>
      <charset val="1"/>
      <b val="1"/>
      <color rgb="FF006100"/>
      <sz val="11"/>
    </font>
    <font>
      <name val="Arial"/>
      <charset val="1"/>
      <b val="1"/>
      <color rgb="FF006100"/>
      <sz val="10"/>
    </font>
    <font>
      <b val="1"/>
      <color rgb="00FFFFFF"/>
      <sz val="18"/>
    </font>
    <font>
      <i val="1"/>
      <color rgb="001F1F1F"/>
      <sz val="10"/>
    </font>
    <font>
      <b val="1"/>
      <color rgb="00FFFFFF"/>
    </font>
    <font>
      <b val="1"/>
    </font>
    <font>
      <b val="1"/>
      <color rgb="00FFFFFF"/>
      <sz val="13"/>
    </font>
    <font>
      <i val="1"/>
      <color rgb="00666666"/>
      <sz val="9"/>
    </font>
    <font>
      <i val="1"/>
      <sz val="10"/>
    </font>
    <font>
      <b val="1"/>
      <color rgb="00FFFFFF"/>
      <sz val="12"/>
    </font>
    <font>
      <i val="1"/>
      <color rgb="00666666"/>
      <sz val="10"/>
    </font>
    <font>
      <i val="1"/>
      <color rgb="00666666"/>
    </font>
  </fonts>
  <fills count="17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4A7EBB"/>
      </patternFill>
    </fill>
    <fill>
      <patternFill patternType="solid">
        <fgColor rgb="FFC6EFCE"/>
        <bgColor rgb="FFD9D9D9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D9D9D9"/>
      </patternFill>
    </fill>
    <fill>
      <patternFill patternType="solid">
        <fgColor rgb="00C00000"/>
      </patternFill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2F2F2"/>
      </patternFill>
    </fill>
    <fill>
      <patternFill patternType="solid">
        <fgColor rgb="007030A0"/>
      </patternFill>
    </fill>
    <fill>
      <patternFill patternType="solid">
        <fgColor rgb="00E4DFEC"/>
      </patternFill>
    </fill>
    <fill>
      <patternFill patternType="solid">
        <fgColor rgb="00548235"/>
      </patternFill>
    </fill>
    <fill>
      <patternFill patternType="solid">
        <fgColor rgb="00D9D2E9"/>
      </patternFill>
    </fill>
    <fill>
      <patternFill patternType="solid">
        <fgColor rgb="00C6E0B4"/>
      </patternFill>
    </fill>
  </fills>
  <borders count="7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bottom style="thin">
        <color rgb="00B7B7B7"/>
      </bottom>
    </border>
  </borders>
  <cellStyleXfs count="1">
    <xf numFmtId="0" fontId="0" fillId="0" borderId="0"/>
  </cellStyleXfs>
  <cellXfs count="101">
    <xf numFmtId="0" fontId="0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0" fontId="5" fillId="0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0" borderId="0" pivotButton="0" quotePrefix="0" xfId="0"/>
    <xf numFmtId="164" fontId="5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center" vertical="center" wrapText="1"/>
    </xf>
    <xf numFmtId="10" fontId="5" fillId="4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8" fillId="0" borderId="0" pivotButton="0" quotePrefix="0" xfId="0"/>
    <xf numFmtId="2" fontId="5" fillId="0" borderId="1" applyAlignment="1" pivotButton="0" quotePrefix="0" xfId="0">
      <alignment horizontal="center" vertical="center" wrapText="1"/>
    </xf>
    <xf numFmtId="2" fontId="5" fillId="4" borderId="1" applyAlignment="1" pivotButton="0" quotePrefix="0" xfId="0">
      <alignment horizontal="center" vertical="center" wrapText="1"/>
    </xf>
    <xf numFmtId="165" fontId="8" fillId="0" borderId="0" pivotButton="0" quotePrefix="0" xfId="0"/>
    <xf numFmtId="166" fontId="0" fillId="0" borderId="0" pivotButton="0" quotePrefix="0" xfId="0"/>
    <xf numFmtId="0" fontId="5" fillId="5" borderId="1" applyAlignment="1" pivotButton="0" quotePrefix="0" xfId="0">
      <alignment horizontal="center" vertical="center" wrapText="1"/>
    </xf>
    <xf numFmtId="49" fontId="5" fillId="5" borderId="1" applyAlignment="1" pivotButton="0" quotePrefix="0" xfId="0">
      <alignment horizontal="center" vertical="center" wrapText="1"/>
    </xf>
    <xf numFmtId="2" fontId="5" fillId="5" borderId="1" applyAlignment="1" pivotButton="0" quotePrefix="0" xfId="0">
      <alignment horizontal="center" vertical="center" wrapText="1"/>
    </xf>
    <xf numFmtId="10" fontId="5" fillId="5" borderId="1" applyAlignment="1" pivotButton="0" quotePrefix="0" xfId="0">
      <alignment horizontal="center" vertical="center" wrapText="1"/>
    </xf>
    <xf numFmtId="167" fontId="5" fillId="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167" fontId="5" fillId="6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0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12" fillId="0" borderId="0" pivotButton="0" quotePrefix="0" xfId="0"/>
    <xf numFmtId="0" fontId="0" fillId="0" borderId="0" applyAlignment="1" pivotButton="0" quotePrefix="0" xfId="0">
      <alignment wrapText="1"/>
    </xf>
    <xf numFmtId="0" fontId="9" fillId="7" borderId="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 wrapText="1"/>
    </xf>
    <xf numFmtId="0" fontId="11" fillId="8" borderId="6" applyAlignment="1" pivotButton="0" quotePrefix="0" xfId="0">
      <alignment horizontal="center" vertical="center" wrapText="1"/>
    </xf>
    <xf numFmtId="0" fontId="0" fillId="9" borderId="6" applyAlignment="1" pivotButton="0" quotePrefix="0" xfId="0">
      <alignment vertical="center" wrapText="1"/>
    </xf>
    <xf numFmtId="168" fontId="0" fillId="9" borderId="6" applyAlignment="1" pivotButton="0" quotePrefix="0" xfId="0">
      <alignment horizontal="center" vertical="center"/>
    </xf>
    <xf numFmtId="168" fontId="12" fillId="9" borderId="6" applyAlignment="1" pivotButton="0" quotePrefix="0" xfId="0">
      <alignment horizontal="center" vertical="center"/>
    </xf>
    <xf numFmtId="0" fontId="0" fillId="10" borderId="6" applyAlignment="1" pivotButton="0" quotePrefix="0" xfId="0">
      <alignment vertical="center" wrapText="1"/>
    </xf>
    <xf numFmtId="168" fontId="0" fillId="10" borderId="6" applyAlignment="1" pivotButton="0" quotePrefix="0" xfId="0">
      <alignment horizontal="center" vertical="center"/>
    </xf>
    <xf numFmtId="168" fontId="12" fillId="10" borderId="6" applyAlignment="1" pivotButton="0" quotePrefix="0" xfId="0">
      <alignment horizontal="center" vertical="center"/>
    </xf>
    <xf numFmtId="0" fontId="0" fillId="11" borderId="6" applyAlignment="1" pivotButton="0" quotePrefix="0" xfId="0">
      <alignment vertical="center" wrapText="1"/>
    </xf>
    <xf numFmtId="0" fontId="13" fillId="12" borderId="0" applyAlignment="1" pivotButton="0" quotePrefix="0" xfId="0">
      <alignment horizontal="left"/>
    </xf>
    <xf numFmtId="0" fontId="11" fillId="12" borderId="0" applyAlignment="1" pivotButton="0" quotePrefix="0" xfId="0">
      <alignment horizontal="center" vertical="center" wrapText="1"/>
    </xf>
    <xf numFmtId="0" fontId="0" fillId="13" borderId="6" applyAlignment="1" pivotButton="0" quotePrefix="0" xfId="0">
      <alignment horizontal="left" vertical="center"/>
    </xf>
    <xf numFmtId="168" fontId="12" fillId="13" borderId="6" applyAlignment="1" pivotButton="0" quotePrefix="0" xfId="0">
      <alignment horizontal="center" vertical="center"/>
    </xf>
    <xf numFmtId="168" fontId="0" fillId="13" borderId="6" applyAlignment="1" pivotButton="0" quotePrefix="0" xfId="0">
      <alignment horizontal="center" vertical="center"/>
    </xf>
    <xf numFmtId="0" fontId="0" fillId="10" borderId="6" applyAlignment="1" pivotButton="0" quotePrefix="0" xfId="0">
      <alignment horizontal="left" vertical="center"/>
    </xf>
    <xf numFmtId="0" fontId="13" fillId="14" borderId="0" pivotButton="0" quotePrefix="0" xfId="0"/>
    <xf numFmtId="0" fontId="0" fillId="0" borderId="0" applyAlignment="1" pivotButton="0" quotePrefix="0" xfId="0">
      <alignment vertical="top" wrapText="1"/>
    </xf>
    <xf numFmtId="0" fontId="14" fillId="0" borderId="0" applyAlignment="1" pivotButton="0" quotePrefix="0" xfId="0">
      <alignment wrapText="1"/>
    </xf>
    <xf numFmtId="0" fontId="11" fillId="7" borderId="0" pivotButton="0" quotePrefix="0" xfId="0"/>
    <xf numFmtId="0" fontId="0" fillId="7" borderId="0" pivotButton="0" quotePrefix="0" xfId="0"/>
    <xf numFmtId="0" fontId="11" fillId="8" borderId="0" pivotButton="0" quotePrefix="0" xfId="0"/>
    <xf numFmtId="0" fontId="0" fillId="0" borderId="6" applyAlignment="1" pivotButton="0" quotePrefix="0" xfId="0">
      <alignment wrapText="1"/>
    </xf>
    <xf numFmtId="169" fontId="0" fillId="0" borderId="6" applyAlignment="1" pivotButton="0" quotePrefix="0" xfId="0">
      <alignment wrapText="1"/>
    </xf>
    <xf numFmtId="0" fontId="15" fillId="0" borderId="0" applyAlignment="1" pivotButton="0" quotePrefix="0" xfId="0">
      <alignment vertical="center" wrapText="1"/>
    </xf>
    <xf numFmtId="0" fontId="13" fillId="12" borderId="0" pivotButton="0" quotePrefix="0" xfId="0"/>
    <xf numFmtId="0" fontId="11" fillId="12" borderId="0" applyAlignment="1" pivotButton="0" quotePrefix="0" xfId="0">
      <alignment horizontal="center" vertical="center"/>
    </xf>
    <xf numFmtId="0" fontId="0" fillId="13" borderId="6" applyAlignment="1" pivotButton="0" quotePrefix="0" xfId="0">
      <alignment horizontal="center" vertical="center"/>
    </xf>
    <xf numFmtId="2" fontId="0" fillId="13" borderId="6" applyAlignment="1" pivotButton="0" quotePrefix="0" xfId="0">
      <alignment horizontal="center" vertical="center"/>
    </xf>
    <xf numFmtId="0" fontId="12" fillId="15" borderId="6" applyAlignment="1" pivotButton="0" quotePrefix="0" xfId="0">
      <alignment horizontal="center" vertical="center"/>
    </xf>
    <xf numFmtId="2" fontId="12" fillId="15" borderId="6" applyAlignment="1" pivotButton="0" quotePrefix="0" xfId="0">
      <alignment horizontal="center" vertical="center"/>
    </xf>
    <xf numFmtId="0" fontId="16" fillId="8" borderId="0" pivotButton="0" quotePrefix="0" xfId="0"/>
    <xf numFmtId="0" fontId="11" fillId="8" borderId="0" applyAlignment="1" pivotButton="0" quotePrefix="0" xfId="0">
      <alignment horizontal="center" vertical="center" wrapText="1"/>
    </xf>
    <xf numFmtId="0" fontId="0" fillId="9" borderId="6" applyAlignment="1" pivotButton="0" quotePrefix="0" xfId="0">
      <alignment horizontal="center" vertical="center" wrapText="1"/>
    </xf>
    <xf numFmtId="169" fontId="0" fillId="9" borderId="6" applyAlignment="1" pivotButton="0" quotePrefix="0" xfId="0">
      <alignment horizontal="center" vertical="center" wrapText="1"/>
    </xf>
    <xf numFmtId="169" fontId="12" fillId="9" borderId="6" applyAlignment="1" pivotButton="0" quotePrefix="0" xfId="0">
      <alignment horizontal="center" vertical="center" wrapText="1"/>
    </xf>
    <xf numFmtId="170" fontId="0" fillId="9" borderId="6" applyAlignment="1" pivotButton="0" quotePrefix="0" xfId="0">
      <alignment horizontal="center" vertical="center" wrapText="1"/>
    </xf>
    <xf numFmtId="0" fontId="0" fillId="10" borderId="6" applyAlignment="1" pivotButton="0" quotePrefix="0" xfId="0">
      <alignment horizontal="center" vertical="center" wrapText="1"/>
    </xf>
    <xf numFmtId="169" fontId="0" fillId="10" borderId="6" applyAlignment="1" pivotButton="0" quotePrefix="0" xfId="0">
      <alignment horizontal="center" vertical="center" wrapText="1"/>
    </xf>
    <xf numFmtId="169" fontId="12" fillId="10" borderId="6" applyAlignment="1" pivotButton="0" quotePrefix="0" xfId="0">
      <alignment horizontal="center" vertical="center" wrapText="1"/>
    </xf>
    <xf numFmtId="170" fontId="0" fillId="10" borderId="6" applyAlignment="1" pivotButton="0" quotePrefix="0" xfId="0">
      <alignment horizontal="center" vertical="center" wrapText="1"/>
    </xf>
    <xf numFmtId="0" fontId="11" fillId="14" borderId="0" applyAlignment="1" pivotButton="0" quotePrefix="0" xfId="0">
      <alignment horizontal="center" vertical="center"/>
    </xf>
    <xf numFmtId="2" fontId="0" fillId="10" borderId="6" applyAlignment="1" pivotButton="0" quotePrefix="0" xfId="0">
      <alignment horizontal="center" vertical="center" wrapText="1"/>
    </xf>
    <xf numFmtId="0" fontId="12" fillId="16" borderId="6" applyAlignment="1" pivotButton="0" quotePrefix="0" xfId="0">
      <alignment horizontal="center" vertical="center" wrapText="1"/>
    </xf>
    <xf numFmtId="2" fontId="12" fillId="16" borderId="6" applyAlignment="1" pivotButton="0" quotePrefix="0" xfId="0">
      <alignment horizontal="center" vertical="center" wrapText="1"/>
    </xf>
    <xf numFmtId="0" fontId="16" fillId="7" borderId="0" pivotButton="0" quotePrefix="0" xfId="0"/>
    <xf numFmtId="0" fontId="11" fillId="7" borderId="0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 vertical="center"/>
    </xf>
    <xf numFmtId="0" fontId="0" fillId="10" borderId="6" applyAlignment="1" pivotButton="0" quotePrefix="0" xfId="0">
      <alignment horizontal="center" vertical="center"/>
    </xf>
    <xf numFmtId="2" fontId="0" fillId="10" borderId="6" applyAlignment="1" pivotButton="0" quotePrefix="0" xfId="0">
      <alignment horizontal="center" vertical="center"/>
    </xf>
    <xf numFmtId="0" fontId="12" fillId="16" borderId="6" applyAlignment="1" pivotButton="0" quotePrefix="0" xfId="0">
      <alignment horizontal="center" vertical="center"/>
    </xf>
    <xf numFmtId="2" fontId="12" fillId="16" borderId="6" applyAlignment="1" pivotButton="0" quotePrefix="0" xfId="0">
      <alignment horizontal="center" vertical="center"/>
    </xf>
    <xf numFmtId="0" fontId="13" fillId="8" borderId="0" pivotButton="0" quotePrefix="0" xfId="0"/>
    <xf numFmtId="0" fontId="13" fillId="7" borderId="0" pivotButton="0" quotePrefix="0" xfId="0"/>
    <xf numFmtId="0" fontId="17" fillId="0" borderId="0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10" fontId="5" fillId="0" borderId="6" applyAlignment="1" pivotButton="0" quotePrefix="0" xfId="0">
      <alignment horizontal="center" vertical="center" wrapText="1"/>
    </xf>
    <xf numFmtId="10" fontId="0" fillId="0" borderId="6" applyAlignment="1" pivotButton="0" quotePrefix="0" xfId="0">
      <alignment horizontal="center" vertical="center" wrapText="1"/>
    </xf>
    <xf numFmtId="170" fontId="0" fillId="0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5" fillId="5" borderId="6" applyAlignment="1" pivotButton="0" quotePrefix="0" xfId="0">
      <alignment horizontal="center" vertical="center" wrapText="1"/>
    </xf>
    <xf numFmtId="10" fontId="5" fillId="5" borderId="6" applyAlignment="1" pivotButton="0" quotePrefix="0" xfId="0">
      <alignment horizontal="center" vertical="center" wrapText="1"/>
    </xf>
    <xf numFmtId="0" fontId="18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7B7B7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4A7EBB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Validation F1 &amp; PR-AUC by Epoch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'Epoch Metrics'!$G$4</f>
              <strCache>
                <ptCount val="1"/>
                <pt idx="0">
                  <v>Val F1</v>
                </pt>
              </strCache>
            </strRef>
          </tx>
          <spPr>
            <a:ln xmlns:a="http://schemas.openxmlformats.org/drawingml/2006/main" w="28440">
              <a:solidFill>
                <a:srgbClr val="4A7EB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numRef>
              <f>'Epoch Metrics'!$A$5:$A$7</f>
              <numCache>
                <formatCode>General</formatCode>
                <ptCount val="3"/>
                <pt idx="0">
                  <v>1</v>
                </pt>
                <pt idx="1">
                  <v>2</v>
                </pt>
                <pt idx="2">
                  <v>3</v>
                </pt>
              </numCache>
            </numRef>
          </cat>
          <val>
            <numRef>
              <f>'Epoch Metrics'!$G$5:$G$7</f>
              <numCache>
                <formatCode>0.00%</formatCode>
                <ptCount val="3"/>
                <pt idx="0">
                  <v>0.1203</v>
                </pt>
                <pt idx="1">
                  <v>0.1538</v>
                </pt>
                <pt idx="2">
                  <v>0.1213</v>
                </pt>
              </numCache>
            </numRef>
          </val>
          <smooth val="1"/>
        </ser>
        <ser>
          <idx val="1"/>
          <order val="1"/>
          <tx>
            <strRef>
              <f>'Epoch Metrics'!$H$4</f>
              <strCache>
                <ptCount val="1"/>
                <pt idx="0">
                  <v>Val PR-AUC (AP)</v>
                </pt>
              </strCache>
            </strRef>
          </tx>
          <spPr>
            <a:ln xmlns:a="http://schemas.openxmlformats.org/drawingml/2006/main" w="28440">
              <a:solidFill>
                <a:srgbClr val="BE4B48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0"/>
            <showCatName val="0"/>
            <showSerName val="0"/>
            <showPercent val="0"/>
            <showBubbleSize val="1"/>
            <showLeaderLines val="0"/>
          </dLbls>
          <cat>
            <numRef>
              <f>'Epoch Metrics'!$A$5:$A$7</f>
              <numCache>
                <formatCode>General</formatCode>
                <ptCount val="3"/>
                <pt idx="0">
                  <v>1</v>
                </pt>
                <pt idx="1">
                  <v>2</v>
                </pt>
                <pt idx="2">
                  <v>3</v>
                </pt>
              </numCache>
            </numRef>
          </cat>
          <val>
            <numRef>
              <f>'Epoch Metrics'!$H$5:$H$7</f>
              <numCache>
                <formatCode>0.0000</formatCode>
                <ptCount val="3"/>
                <pt idx="0">
                  <v>0.1854</v>
                </pt>
                <pt idx="1">
                  <v>0.2436</v>
                </pt>
                <pt idx="2">
                  <v>0.2253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hiLowLines>
          <spPr>
            <a:ln xmlns:a="http://schemas.openxmlformats.org/drawingml/2006/main" w="0">
              <a:noFill/>
              <a:prstDash val="solid"/>
            </a:ln>
          </spPr>
        </hiLowLines>
        <smooth val="0"/>
        <axId val="39498988"/>
        <axId val="87736407"/>
      </lineChart>
      <catAx>
        <axId val="39498988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Epoch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87736407"/>
        <crosses val="autoZero"/>
        <auto val="1"/>
        <lblAlgn val="ctr"/>
        <lblOffset val="100"/>
        <noMultiLvlLbl val="0"/>
      </catAx>
      <valAx>
        <axId val="87736407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Score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0.00%" sourceLinked="1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  <a:endParaRPr lang="en-US"/>
          </a:p>
        </txPr>
        <crossAx val="39498988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PrimeVul F1 Comparison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'Paper vs Our Comparison'!C28</f>
            </strRef>
          </tx>
          <spPr>
            <a:ln xmlns:a="http://schemas.openxmlformats.org/drawingml/2006/main">
              <a:prstDash val="solid"/>
            </a:ln>
          </spPr>
          <cat>
            <numRef>
              <f>'Paper vs Our Comparison'!$A$29:$A$32</f>
            </numRef>
          </cat>
          <val>
            <numRef>
              <f>'Paper vs Our Comparison'!$C$29:$C$32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Result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6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F1 (%)</a:t>
                </a:r>
              </a:p>
            </rich>
          </tx>
        </title>
        <numFmt formatCode="0&quot;%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9</row>
      <rowOff>230400</rowOff>
    </from>
    <to>
      <col>6</col>
      <colOff>699840</colOff>
      <row>26</row>
      <rowOff>61920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oneCellAnchor>
    <from>
      <col>8</col>
      <colOff>0</colOff>
      <row>26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tabSelected="1" zoomScaleNormal="100" workbookViewId="0">
      <selection activeCell="A14" sqref="A14"/>
    </sheetView>
  </sheetViews>
  <sheetFormatPr baseColWidth="8" defaultColWidth="8.6640625" defaultRowHeight="14.4"/>
  <cols>
    <col width="26" customWidth="1" min="1" max="1"/>
    <col width="22" customWidth="1" min="2" max="2"/>
    <col width="20" customWidth="1" min="3" max="3"/>
    <col width="16" customWidth="1" min="4" max="4"/>
    <col width="55" customWidth="1" min="5" max="5"/>
    <col width="12" customWidth="1" min="6" max="6"/>
  </cols>
  <sheetData>
    <row r="1" ht="27.75" customHeight="1">
      <c r="A1" s="28" t="inlineStr">
        <is>
          <t>PrimeVul QLoRA Classifier — Results Summary</t>
        </is>
      </c>
    </row>
    <row r="2" ht="15.75" customHeight="1">
      <c r="A2" s="29" t="inlineStr">
        <is>
          <t>Llama-3.1-8B Base + Classification Head, QLoRA fine-tuning | Run: primevul_qlora_classifier_v2_20260818_034418</t>
        </is>
      </c>
    </row>
    <row r="3"/>
    <row r="4" ht="15.6" customHeight="1">
      <c r="A4" s="1" t="inlineStr">
        <is>
          <t>Headline Results</t>
        </is>
      </c>
      <c r="B4" t="inlineStr">
        <is>
          <t>PV/</t>
        </is>
      </c>
    </row>
    <row r="5" ht="27.6" customHeight="1">
      <c r="A5" s="2" t="inlineStr">
        <is>
          <t>Metric</t>
        </is>
      </c>
      <c r="B5" s="2" t="inlineStr">
        <is>
          <t>Natural Distribution (Test)</t>
        </is>
      </c>
      <c r="C5" s="2" t="inlineStr">
        <is>
          <t>Balanced Subset (Test)</t>
        </is>
      </c>
      <c r="D5" s="2" t="inlineStr">
        <is>
          <t>Paper Reference*</t>
        </is>
      </c>
      <c r="E5" s="2" t="inlineStr">
        <is>
          <t>Notes</t>
        </is>
      </c>
    </row>
    <row r="6">
      <c r="A6" s="3" t="inlineStr">
        <is>
          <t>Accuracy</t>
        </is>
      </c>
      <c r="B6" s="4" t="n">
        <v>0.9546</v>
      </c>
      <c r="C6" s="4" t="n">
        <v>0.6471</v>
      </c>
      <c r="D6" s="3" t="inlineStr">
        <is>
          <t>—</t>
        </is>
      </c>
      <c r="E6" s="3" t="inlineStr">
        <is>
          <t>Natural accuracy is inflated by class imbalance (97.2% Safe)</t>
        </is>
      </c>
    </row>
    <row r="7" ht="26.4" customHeight="1">
      <c r="A7" s="3" t="inlineStr">
        <is>
          <t>Precision (Vulnerable)</t>
        </is>
      </c>
      <c r="B7" s="4" t="n">
        <v>0.2539</v>
      </c>
      <c r="C7" s="4" t="n">
        <v>0.8994</v>
      </c>
      <c r="D7" s="3" t="inlineStr">
        <is>
          <t>—</t>
        </is>
      </c>
      <c r="E7" s="3" t="inlineStr">
        <is>
          <t>Balanced precision is high — model rarely false-alarms when data is balanced</t>
        </is>
      </c>
    </row>
    <row r="8" ht="26.4" customHeight="1">
      <c r="A8" s="3" t="inlineStr">
        <is>
          <t>Recall (Vulnerable)</t>
        </is>
      </c>
      <c r="B8" s="4" t="n">
        <v>0.3313</v>
      </c>
      <c r="C8" s="4" t="n">
        <v>0.3313</v>
      </c>
      <c r="D8" s="3" t="inlineStr">
        <is>
          <t>—</t>
        </is>
      </c>
      <c r="E8" s="3" t="inlineStr">
        <is>
          <t>Same recall both ways — same absolute vulnerable catches, different denominators</t>
        </is>
      </c>
    </row>
    <row r="9" ht="26.4" customHeight="1">
      <c r="A9" s="3" t="inlineStr">
        <is>
          <t>F1 Score (Vulnerable)</t>
        </is>
      </c>
      <c r="B9" s="4" t="n">
        <v>0.2875</v>
      </c>
      <c r="C9" s="4" t="n">
        <v>0.4842</v>
      </c>
      <c r="D9" s="4" t="n">
        <v>0.2628</v>
      </c>
      <c r="E9" s="3" t="inlineStr">
        <is>
          <t>Paper PrimeVul max F1 in supplied class-weight table (weight 40)</t>
        </is>
      </c>
    </row>
    <row r="11">
      <c r="A11" s="30" t="inlineStr">
        <is>
          <t>* Ouchebara &amp; Dupont (2025), 'Llama-based source code vulnerability detection' — Llama-3.1-8B Base + classification head, QLoRA fine-tuning, PrimeVul dataset.</t>
        </is>
      </c>
    </row>
    <row r="13" ht="15.6" customHeight="1"/>
    <row r="14" ht="15" customHeight="1"/>
    <row r="15" ht="15" customHeight="1"/>
    <row r="16" ht="15" customHeight="1"/>
    <row r="17" ht="15" customHeight="1"/>
    <row r="18" ht="15" customHeight="1"/>
    <row r="19" ht="23.85" customHeight="1"/>
    <row r="21" ht="15.6" customHeight="1"/>
    <row r="22" ht="28.35" customHeight="1"/>
  </sheetData>
  <mergeCells count="10">
    <mergeCell ref="A2:F2"/>
    <mergeCell ref="A11:F11"/>
    <mergeCell ref="C18:F18"/>
    <mergeCell ref="C17:F17"/>
    <mergeCell ref="A1:F1"/>
    <mergeCell ref="C16:F16"/>
    <mergeCell ref="C15:F15"/>
    <mergeCell ref="B22:F22"/>
    <mergeCell ref="C19:F19"/>
    <mergeCell ref="C14:F14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"/>
  <sheetViews>
    <sheetView showGridLines="0" topLeftCell="A12" zoomScaleNormal="100" workbookViewId="0">
      <selection activeCell="A1" sqref="A1:D1"/>
    </sheetView>
  </sheetViews>
  <sheetFormatPr baseColWidth="8" defaultColWidth="8.6640625" defaultRowHeight="14.4"/>
  <cols>
    <col width="42" customWidth="1" min="1" max="1"/>
    <col width="26" customWidth="1" min="2" max="2"/>
    <col width="16" customWidth="1" min="3" max="5"/>
  </cols>
  <sheetData>
    <row r="1" ht="27.75" customHeight="1">
      <c r="A1" s="28" t="inlineStr">
        <is>
          <t>Configuration &amp; Dataset Statistics</t>
        </is>
      </c>
    </row>
    <row r="2"/>
    <row r="3"/>
    <row r="4" ht="15.6" customHeight="1">
      <c r="A4" s="1" t="inlineStr">
        <is>
          <t>Model &amp; Training Configuration</t>
        </is>
      </c>
    </row>
    <row r="5" ht="15" customHeight="1">
      <c r="A5" s="5" t="inlineStr">
        <is>
          <t>Base model</t>
        </is>
      </c>
      <c r="B5" s="31" t="inlineStr">
        <is>
          <t>unsloth/Meta-Llama-3.1-8B (Base, not Instruct)</t>
        </is>
      </c>
      <c r="C5" s="33" t="n"/>
      <c r="D5" s="34" t="n"/>
    </row>
    <row r="6" ht="15" customHeight="1">
      <c r="A6" s="5" t="inlineStr">
        <is>
          <t>Fine-tuning method</t>
        </is>
      </c>
      <c r="B6" s="31" t="inlineStr">
        <is>
          <t>QLoRA (4-bit) + classification head, jointly trained end-to-end</t>
        </is>
      </c>
      <c r="C6" s="33" t="n"/>
      <c r="D6" s="34" t="n"/>
    </row>
    <row r="7" ht="15" customHeight="1">
      <c r="A7" s="5" t="inlineStr">
        <is>
          <t>LoRA rank / alpha / dropout</t>
        </is>
      </c>
      <c r="B7" s="31" t="inlineStr">
        <is>
          <t>16 / 8 / 0.05</t>
        </is>
      </c>
      <c r="C7" s="33" t="n"/>
      <c r="D7" s="34" t="n"/>
    </row>
    <row r="8" ht="15" customHeight="1">
      <c r="A8" s="5" t="inlineStr">
        <is>
          <t>LoRA target modules</t>
        </is>
      </c>
      <c r="B8" s="31" t="inlineStr">
        <is>
          <t>q_proj, k_proj, v_proj, o_proj</t>
        </is>
      </c>
      <c r="C8" s="33" t="n"/>
      <c r="D8" s="34" t="n"/>
    </row>
    <row r="9" ht="15" customHeight="1">
      <c r="A9" s="5" t="inlineStr">
        <is>
          <t>Classification head</t>
        </is>
      </c>
      <c r="B9" s="31" t="inlineStr">
        <is>
          <t>hidden_dim=256, dropout=0.1, mean pooling over sequence</t>
        </is>
      </c>
      <c r="C9" s="33" t="n"/>
      <c r="D9" s="34" t="n"/>
    </row>
    <row r="10" ht="15" customHeight="1">
      <c r="A10" s="5" t="inlineStr">
        <is>
          <t>Train max sequence length</t>
        </is>
      </c>
      <c r="B10" s="31" t="inlineStr">
        <is>
          <t>1536 tokens</t>
        </is>
      </c>
      <c r="C10" s="33" t="n"/>
      <c r="D10" s="34" t="n"/>
    </row>
    <row r="11" ht="15" customHeight="1">
      <c r="A11" s="5" t="inlineStr">
        <is>
          <t>Physical batch size</t>
        </is>
      </c>
      <c r="B11" s="31" t="inlineStr">
        <is>
          <t>1 (effective batch 16 via 16x gradient accumulation)</t>
        </is>
      </c>
      <c r="C11" s="33" t="n"/>
      <c r="D11" s="34" t="n"/>
    </row>
    <row r="12" ht="15" customHeight="1">
      <c r="A12" s="5" t="inlineStr">
        <is>
          <t>Learning rate (peak)</t>
        </is>
      </c>
      <c r="B12" s="31" t="inlineStr">
        <is>
          <t>2e-4, cosine decay with 6% warmup</t>
        </is>
      </c>
      <c r="C12" s="33" t="n"/>
      <c r="D12" s="34" t="n"/>
    </row>
    <row r="13" ht="15" customHeight="1">
      <c r="A13" s="5" t="inlineStr">
        <is>
          <t>Gradient clipping</t>
        </is>
      </c>
      <c r="B13" s="31" t="inlineStr">
        <is>
          <t>max norm 1.0</t>
        </is>
      </c>
      <c r="C13" s="33" t="n"/>
      <c r="D13" s="34" t="n"/>
    </row>
    <row r="14" ht="28.35" customHeight="1">
      <c r="A14" s="5" t="inlineStr">
        <is>
          <t>Loss function</t>
        </is>
      </c>
      <c r="B14" s="31" t="inlineStr">
        <is>
          <t>Focal loss (gamma=2.0), no pos_weight — batches already class-balanced</t>
        </is>
      </c>
      <c r="C14" s="33" t="n"/>
      <c r="D14" s="34" t="n"/>
    </row>
    <row r="15" ht="28.35" customHeight="1">
      <c r="A15" s="5" t="inlineStr">
        <is>
          <t>Class balancing strategy</t>
        </is>
      </c>
      <c r="B15" s="31" t="inlineStr">
        <is>
          <t>Dynamic per-epoch resampling, proportional 50/50, capped at 5,000 samples/epoch</t>
        </is>
      </c>
      <c r="C15" s="33" t="n"/>
      <c r="D15" s="34" t="n"/>
    </row>
    <row r="16" ht="15" customHeight="1">
      <c r="A16" s="5" t="inlineStr">
        <is>
          <t>Epochs planned / completed</t>
        </is>
      </c>
      <c r="B16" s="31" t="inlineStr">
        <is>
          <t>3 / 3 (patience 2, selection by validation PR-AUC)</t>
        </is>
      </c>
      <c r="C16" s="33" t="n"/>
      <c r="D16" s="34" t="n"/>
    </row>
    <row r="17" ht="15" customHeight="1">
      <c r="A17" s="5" t="inlineStr">
        <is>
          <t>Checkpoint selection metric</t>
        </is>
      </c>
      <c r="B17" s="31" t="inlineStr">
        <is>
          <t>Validation PR-AUC (average precision) — threshold-independent</t>
        </is>
      </c>
      <c r="C17" s="33" t="n"/>
      <c r="D17" s="34" t="n"/>
    </row>
    <row r="18" ht="15" customHeight="1">
      <c r="A18" s="5" t="inlineStr">
        <is>
          <t>Decision threshold</t>
        </is>
      </c>
      <c r="B18" s="31" t="inlineStr">
        <is>
          <t>Tuned post-hoc: 0.66 (vs. default 0.5)</t>
        </is>
      </c>
      <c r="C18" s="33" t="n"/>
      <c r="D18" s="34" t="n"/>
    </row>
    <row r="19"/>
    <row r="20" ht="15.6" customHeight="1">
      <c r="A20" s="1" t="inlineStr">
        <is>
          <t>PrimeVul Dataset Statistics</t>
        </is>
      </c>
    </row>
    <row r="21">
      <c r="A21" s="2" t="inlineStr">
        <is>
          <t>Split</t>
        </is>
      </c>
      <c r="B21" s="2" t="inlineStr">
        <is>
          <t>Total Samples</t>
        </is>
      </c>
      <c r="C21" s="2" t="inlineStr">
        <is>
          <t>Safe</t>
        </is>
      </c>
      <c r="D21" s="2" t="inlineStr">
        <is>
          <t>Vulnerable</t>
        </is>
      </c>
      <c r="E21" s="2" t="inlineStr">
        <is>
          <t>% Vulnerable</t>
        </is>
      </c>
    </row>
    <row r="22">
      <c r="A22" s="3" t="inlineStr">
        <is>
          <t>Full dataset</t>
        </is>
      </c>
      <c r="B22" s="3" t="n">
        <v>175797</v>
      </c>
      <c r="C22" s="3" t="n">
        <v>170935</v>
      </c>
      <c r="D22" s="3" t="n">
        <v>4862</v>
      </c>
      <c r="E22" s="4">
        <f>D22/B22</f>
        <v/>
      </c>
    </row>
    <row r="23">
      <c r="A23" s="3" t="inlineStr">
        <is>
          <t>Training split (80%)</t>
        </is>
      </c>
      <c r="B23" s="3" t="n">
        <v>140637</v>
      </c>
      <c r="C23" s="3" t="inlineStr">
        <is>
          <t>—</t>
        </is>
      </c>
      <c r="D23" s="3" t="inlineStr">
        <is>
          <t>—</t>
        </is>
      </c>
      <c r="E23" s="3" t="inlineStr">
        <is>
          <t>—</t>
        </is>
      </c>
    </row>
    <row r="24">
      <c r="A24" s="3" t="inlineStr">
        <is>
          <t>Validation split (10%, natural)</t>
        </is>
      </c>
      <c r="B24" s="3" t="n">
        <v>17580</v>
      </c>
      <c r="C24" s="3" t="inlineStr">
        <is>
          <t>—</t>
        </is>
      </c>
      <c r="D24" s="3" t="inlineStr">
        <is>
          <t>—</t>
        </is>
      </c>
      <c r="E24" s="3" t="inlineStr">
        <is>
          <t>—</t>
        </is>
      </c>
    </row>
    <row r="25">
      <c r="A25" s="3" t="inlineStr">
        <is>
          <t>Test split (10%, natural)</t>
        </is>
      </c>
      <c r="B25" s="3" t="n">
        <v>17580</v>
      </c>
      <c r="C25" s="3" t="inlineStr">
        <is>
          <t>—</t>
        </is>
      </c>
      <c r="D25" s="3" t="inlineStr">
        <is>
          <t>—</t>
        </is>
      </c>
      <c r="E25" s="3" t="inlineStr">
        <is>
          <t>—</t>
        </is>
      </c>
    </row>
    <row r="27" ht="15.6" customHeight="1">
      <c r="A27" s="1" t="inlineStr">
        <is>
          <t>Per-Epoch Training Sample Composition</t>
        </is>
      </c>
    </row>
    <row r="28">
      <c r="A28" s="2" t="inlineStr">
        <is>
          <t>Item</t>
        </is>
      </c>
      <c r="B28" s="2" t="inlineStr">
        <is>
          <t>Count</t>
        </is>
      </c>
    </row>
    <row r="29">
      <c r="A29" s="3" t="inlineStr">
        <is>
          <t>Total Vulnerable in training pool</t>
        </is>
      </c>
      <c r="B29" s="3" t="n">
        <v>3890</v>
      </c>
    </row>
    <row r="30">
      <c r="A30" s="3" t="inlineStr">
        <is>
          <t>Total Safe in training pool</t>
        </is>
      </c>
      <c r="B30" s="3" t="n">
        <v>136747</v>
      </c>
    </row>
    <row r="31">
      <c r="A31" s="3" t="inlineStr">
        <is>
          <t>Vulnerable drawn per epoch</t>
        </is>
      </c>
      <c r="B31" s="3" t="n">
        <v>2500</v>
      </c>
    </row>
    <row r="32">
      <c r="A32" s="3" t="inlineStr">
        <is>
          <t>Safe drawn per epoch (fresh random draw)</t>
        </is>
      </c>
      <c r="B32" s="3" t="n">
        <v>2500</v>
      </c>
    </row>
    <row r="33">
      <c r="A33" s="3" t="inlineStr">
        <is>
          <t>Total samples per epoch (capped)</t>
        </is>
      </c>
      <c r="B33" s="3" t="n">
        <v>5000</v>
      </c>
    </row>
    <row r="34">
      <c r="A34" s="3" t="inlineStr">
        <is>
          <t>Validation monitoring subset (stratified)</t>
        </is>
      </c>
      <c r="B34" s="3" t="n">
        <v>1500</v>
      </c>
    </row>
    <row r="35">
      <c r="A35" s="3" t="inlineStr">
        <is>
          <t>Threshold-tuning subset (stratified)</t>
        </is>
      </c>
      <c r="B35" s="3" t="n">
        <v>3000</v>
      </c>
    </row>
  </sheetData>
  <mergeCells count="15">
    <mergeCell ref="B10:D10"/>
    <mergeCell ref="A1:D1"/>
    <mergeCell ref="B11:D11"/>
    <mergeCell ref="B5:D5"/>
    <mergeCell ref="B14:D14"/>
    <mergeCell ref="B8:D8"/>
    <mergeCell ref="B17:D17"/>
    <mergeCell ref="B9:D9"/>
    <mergeCell ref="B13:D13"/>
    <mergeCell ref="B18:D18"/>
    <mergeCell ref="B12:D12"/>
    <mergeCell ref="B15:D15"/>
    <mergeCell ref="B7:D7"/>
    <mergeCell ref="B6:D6"/>
    <mergeCell ref="B16:D16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zoomScaleNormal="100" workbookViewId="0">
      <selection activeCell="E27" sqref="E27"/>
    </sheetView>
  </sheetViews>
  <sheetFormatPr baseColWidth="8" defaultColWidth="8.6640625" defaultRowHeight="14.4"/>
  <cols>
    <col width="8" customWidth="1" min="1" max="1"/>
    <col width="22" customWidth="1" min="2" max="2"/>
    <col width="12" customWidth="1" min="3" max="3"/>
    <col width="14" customWidth="1" min="4" max="5"/>
    <col width="12" customWidth="1" min="6" max="6"/>
    <col width="10" customWidth="1" min="7" max="7"/>
    <col width="16" customWidth="1" min="8" max="8"/>
    <col width="20" customWidth="1" min="9" max="9"/>
  </cols>
  <sheetData>
    <row r="1" ht="27.75" customHeight="1">
      <c r="A1" s="28" t="inlineStr">
        <is>
          <t>Per-Epoch Training &amp; Validation Metrics</t>
        </is>
      </c>
    </row>
    <row r="2" ht="15.75" customHeight="1">
      <c r="A2" s="29" t="inlineStr">
        <is>
          <t>Session 1 = fresh start (epochs 1-2, stopped by design). Session 2 = resumed (epoch 3, LR schedule continued).</t>
        </is>
      </c>
    </row>
    <row r="3"/>
    <row r="4" ht="27.6" customHeight="1">
      <c r="A4" s="2" t="inlineStr">
        <is>
          <t>Epoch</t>
        </is>
      </c>
      <c r="B4" s="2" t="n"/>
      <c r="C4" s="2" t="inlineStr">
        <is>
          <t>Train Loss</t>
        </is>
      </c>
      <c r="D4" s="2" t="inlineStr">
        <is>
          <t>Val Accuracy</t>
        </is>
      </c>
      <c r="E4" s="2" t="inlineStr">
        <is>
          <t>Val Precision</t>
        </is>
      </c>
      <c r="F4" s="2" t="inlineStr">
        <is>
          <t>Val Recall</t>
        </is>
      </c>
      <c r="G4" s="2" t="inlineStr">
        <is>
          <t>Val F1</t>
        </is>
      </c>
      <c r="H4" s="2" t="inlineStr">
        <is>
          <t>Val PR-AUC (AP)</t>
        </is>
      </c>
      <c r="I4" s="2" t="inlineStr">
        <is>
          <t>Best So Far?</t>
        </is>
      </c>
    </row>
    <row r="5">
      <c r="A5" s="3" t="n">
        <v>1</v>
      </c>
      <c r="B5" s="3" t="n"/>
      <c r="C5" s="9" t="n">
        <v>0.1359</v>
      </c>
      <c r="D5" s="4" t="n">
        <v>0.6293</v>
      </c>
      <c r="E5" s="4" t="n">
        <v>0.0643</v>
      </c>
      <c r="F5" s="4" t="n">
        <v>0.9268</v>
      </c>
      <c r="G5" s="4" t="n">
        <v>0.1203</v>
      </c>
      <c r="H5" s="9" t="n">
        <v>0.1854</v>
      </c>
      <c r="I5" s="3" t="inlineStr">
        <is>
          <t>No</t>
        </is>
      </c>
    </row>
    <row r="6">
      <c r="A6" s="10" t="n">
        <v>2</v>
      </c>
      <c r="B6" s="10" t="n"/>
      <c r="C6" s="11" t="n">
        <v>0.1192</v>
      </c>
      <c r="D6" s="12" t="n">
        <v>0.7727000000000001</v>
      </c>
      <c r="E6" s="12" t="n">
        <v>0.0856</v>
      </c>
      <c r="F6" s="12" t="n">
        <v>0.7561</v>
      </c>
      <c r="G6" s="12" t="n">
        <v>0.1538</v>
      </c>
      <c r="H6" s="11" t="n">
        <v>0.2436</v>
      </c>
      <c r="I6" s="10" t="inlineStr">
        <is>
          <t>Yes — best PR-AUC</t>
        </is>
      </c>
    </row>
    <row r="7">
      <c r="A7" s="3" t="n">
        <v>3</v>
      </c>
      <c r="B7" s="3" t="n"/>
      <c r="C7" s="9" t="n">
        <v>0.1061</v>
      </c>
      <c r="D7" s="4" t="n">
        <v>0.6427</v>
      </c>
      <c r="E7" s="4" t="n">
        <v>0.065</v>
      </c>
      <c r="F7" s="4" t="n">
        <v>0.9024</v>
      </c>
      <c r="G7" s="4" t="n">
        <v>0.1213</v>
      </c>
      <c r="H7" s="9" t="n">
        <v>0.2253</v>
      </c>
      <c r="I7" s="3" t="inlineStr">
        <is>
          <t>No</t>
        </is>
      </c>
    </row>
    <row r="9">
      <c r="A9" s="13" t="inlineStr">
        <is>
          <t>Selected checkpoint (by validation PR-AUC):</t>
        </is>
      </c>
      <c r="C9" s="14" t="inlineStr">
        <is>
          <t>Epoch 2</t>
        </is>
      </c>
    </row>
    <row r="10" ht="28.35" customHeight="1">
      <c r="A10" s="13" t="inlineStr">
        <is>
          <t>Note:</t>
        </is>
      </c>
      <c r="B10" s="27" t="inlineStr">
        <is>
          <t>Epoch 3's PR-AUC (0.2253) was lower than epoch 2's (0.2436), so epoch 2 remains the best checkpoint despite training continuing through epoch 3. This is normal — the checkpoint selection logic correctly kept the better-generalizing epoch rather than the last one.</t>
        </is>
      </c>
    </row>
  </sheetData>
  <mergeCells count="3">
    <mergeCell ref="A1:I1"/>
    <mergeCell ref="A2:I2"/>
    <mergeCell ref="B10:I10"/>
  </mergeCells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zoomScaleNormal="100" workbookViewId="0">
      <selection activeCell="A1" sqref="A1:C1"/>
    </sheetView>
  </sheetViews>
  <sheetFormatPr baseColWidth="8" defaultColWidth="8.6640625" defaultRowHeight="14.4"/>
  <cols>
    <col width="16" customWidth="1" min="1" max="2"/>
    <col width="60" customWidth="1" min="3" max="3"/>
  </cols>
  <sheetData>
    <row r="1" ht="27.75" customHeight="1">
      <c r="A1" s="28" t="inlineStr">
        <is>
          <t>Decision Threshold Tuning</t>
        </is>
      </c>
    </row>
    <row r="2" ht="15.75" customHeight="1">
      <c r="A2" s="29" t="inlineStr">
        <is>
          <t>Scored on a 3,000-sample stratified subset of the natural-distribution validation set</t>
        </is>
      </c>
    </row>
    <row r="3"/>
    <row r="4">
      <c r="A4" s="2" t="inlineStr">
        <is>
          <t>Threshold</t>
        </is>
      </c>
      <c r="B4" s="2" t="inlineStr">
        <is>
          <t>Validation F1</t>
        </is>
      </c>
      <c r="C4" s="2" t="inlineStr">
        <is>
          <t>Notes</t>
        </is>
      </c>
    </row>
    <row r="5">
      <c r="A5" s="15" t="n">
        <v>0.5</v>
      </c>
      <c r="B5" s="4" t="n">
        <v>0.165</v>
      </c>
      <c r="C5" s="3" t="inlineStr">
        <is>
          <t>Default sigmoid cutoff — not optimal for this imbalanced task</t>
        </is>
      </c>
    </row>
    <row r="6" ht="26.4" customHeight="1">
      <c r="A6" s="16" t="n">
        <v>0.66</v>
      </c>
      <c r="B6" s="12" t="n">
        <v>0.3317</v>
      </c>
      <c r="C6" s="10" t="inlineStr">
        <is>
          <t>Best F1 found by sweeping thresholds — used for all final test evaluation below</t>
        </is>
      </c>
    </row>
    <row r="8">
      <c r="A8" s="13" t="inlineStr">
        <is>
          <t>F1 Improvement from Threshold Tuning:</t>
        </is>
      </c>
      <c r="B8" s="17">
        <f>B6-B5</f>
        <v/>
      </c>
    </row>
    <row r="9">
      <c r="A9" s="13" t="inlineStr">
        <is>
          <t>Relative Improvement:</t>
        </is>
      </c>
      <c r="B9" s="18">
        <f>(B6-B5)/B5</f>
        <v/>
      </c>
    </row>
  </sheetData>
  <mergeCells count="2">
    <mergeCell ref="A1:C1"/>
    <mergeCell ref="A2:C2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topLeftCell="A2" zoomScaleNormal="100" workbookViewId="0">
      <selection activeCell="D7" sqref="D7"/>
    </sheetView>
  </sheetViews>
  <sheetFormatPr baseColWidth="8" defaultColWidth="8.6640625" defaultRowHeight="14.4"/>
  <cols>
    <col width="46" customWidth="1" min="1" max="1"/>
    <col width="14" customWidth="1" min="2" max="3"/>
    <col width="12" customWidth="1" min="4" max="5"/>
    <col width="10" customWidth="1" min="6" max="6"/>
  </cols>
  <sheetData>
    <row r="1" ht="27.75" customHeight="1">
      <c r="A1" s="28" t="inlineStr">
        <is>
          <t>Final Test Set Evaluation (Threshold = 0.66)</t>
        </is>
      </c>
    </row>
    <row r="2"/>
    <row r="3"/>
    <row r="4" ht="15.6" customHeight="1">
      <c r="A4" s="1" t="inlineStr">
        <is>
          <t>PRIMARY — Natural Distribution Test Set (17,580 samples, ~2.77% Vulnerable)</t>
        </is>
      </c>
    </row>
    <row r="5">
      <c r="A5" s="2" t="inlineStr">
        <is>
          <t>Class</t>
        </is>
      </c>
      <c r="B5" s="2" t="inlineStr">
        <is>
          <t>Precision</t>
        </is>
      </c>
      <c r="C5" s="2" t="inlineStr">
        <is>
          <t>Recall</t>
        </is>
      </c>
      <c r="D5" s="2" t="inlineStr">
        <is>
          <t>F1-Score</t>
        </is>
      </c>
      <c r="E5" s="2" t="inlineStr">
        <is>
          <t>Support</t>
        </is>
      </c>
    </row>
    <row r="6">
      <c r="A6" s="3" t="inlineStr">
        <is>
          <t>Safe</t>
        </is>
      </c>
      <c r="B6" s="15" t="n">
        <v>0.98</v>
      </c>
      <c r="C6" s="15" t="n">
        <v>0.97</v>
      </c>
      <c r="D6" s="15" t="n">
        <v>0.98</v>
      </c>
      <c r="E6" s="3" t="n">
        <v>17094</v>
      </c>
    </row>
    <row r="7">
      <c r="A7" s="3" t="inlineStr">
        <is>
          <t>Vulnerable</t>
        </is>
      </c>
      <c r="B7" s="15" t="n">
        <v>0.25</v>
      </c>
      <c r="C7" s="15" t="n">
        <v>0.33</v>
      </c>
      <c r="D7" s="15" t="n">
        <v>0.29</v>
      </c>
      <c r="E7" s="3" t="n">
        <v>486</v>
      </c>
    </row>
    <row r="8">
      <c r="A8" s="19" t="inlineStr">
        <is>
          <t>Accuracy</t>
        </is>
      </c>
      <c r="B8" s="20" t="inlineStr">
        <is>
          <t>—</t>
        </is>
      </c>
      <c r="C8" s="20" t="inlineStr">
        <is>
          <t>—</t>
        </is>
      </c>
      <c r="D8" s="21" t="n">
        <v>0.95</v>
      </c>
      <c r="E8" s="19" t="n">
        <v>17580</v>
      </c>
    </row>
    <row r="9">
      <c r="A9" s="3" t="inlineStr">
        <is>
          <t>Macro avg</t>
        </is>
      </c>
      <c r="B9" s="15" t="n">
        <v>0.62</v>
      </c>
      <c r="C9" s="15" t="n">
        <v>0.65</v>
      </c>
      <c r="D9" s="15" t="n">
        <v>0.63</v>
      </c>
      <c r="E9" s="3" t="n">
        <v>17580</v>
      </c>
    </row>
    <row r="10">
      <c r="A10" s="3" t="inlineStr">
        <is>
          <t>Weighted avg</t>
        </is>
      </c>
      <c r="B10" s="15" t="n">
        <v>0.96</v>
      </c>
      <c r="C10" s="15" t="n">
        <v>0.95</v>
      </c>
      <c r="D10" s="15" t="n">
        <v>0.96</v>
      </c>
      <c r="E10" s="3" t="n">
        <v>17580</v>
      </c>
    </row>
    <row r="11"/>
    <row r="12" ht="23.85" customHeight="1">
      <c r="A12" s="32" t="inlineStr">
        <is>
          <t>Note: Accuracy (95%) looks strong only because Safe dominates the test set (97.2%). Vulnerable-class F1 (0.29) is the metric that reflects actual detection quality.</t>
        </is>
      </c>
    </row>
    <row r="13"/>
    <row r="14"/>
    <row r="15" ht="15.6" customHeight="1">
      <c r="A15" s="1" t="inlineStr">
        <is>
          <t>SECONDARY — Balanced Test Subset (972 samples, 50/50 Safe/Vulnerable, for direct paper comparison)</t>
        </is>
      </c>
    </row>
    <row r="16">
      <c r="A16" s="2" t="inlineStr">
        <is>
          <t>Metric</t>
        </is>
      </c>
      <c r="B16" s="2" t="inlineStr">
        <is>
          <t>Value</t>
        </is>
      </c>
    </row>
    <row r="17">
      <c r="A17" s="3" t="inlineStr">
        <is>
          <t>Accuracy</t>
        </is>
      </c>
      <c r="B17" s="4" t="n">
        <v>0.6471</v>
      </c>
    </row>
    <row r="18">
      <c r="A18" s="3" t="inlineStr">
        <is>
          <t>Precision</t>
        </is>
      </c>
      <c r="B18" s="4" t="n">
        <v>0.8994</v>
      </c>
    </row>
    <row r="19">
      <c r="A19" s="3" t="inlineStr">
        <is>
          <t>Recall</t>
        </is>
      </c>
      <c r="B19" s="4" t="n">
        <v>0.3313</v>
      </c>
    </row>
    <row r="20">
      <c r="A20" s="3" t="inlineStr">
        <is>
          <t>F1 Score</t>
        </is>
      </c>
      <c r="B20" s="4" t="n">
        <v>0.4842</v>
      </c>
    </row>
    <row r="21"/>
    <row r="22" ht="15.6" customHeight="1">
      <c r="A22" s="56" t="inlineStr">
        <is>
          <t>Comparison with Paper Results — PrimeVul (PV) Only</t>
        </is>
      </c>
      <c r="B22" s="57" t="n"/>
      <c r="C22" s="57" t="n"/>
      <c r="D22" s="57" t="n"/>
      <c r="E22" s="57" t="n"/>
      <c r="F22" s="57" t="n"/>
    </row>
    <row r="23">
      <c r="A23" s="92" t="inlineStr">
        <is>
          <t>Result</t>
        </is>
      </c>
      <c r="B23" s="92" t="inlineStr">
        <is>
          <t>Dataset / Condition</t>
        </is>
      </c>
      <c r="C23" s="92" t="inlineStr">
        <is>
          <t>Accuracy</t>
        </is>
      </c>
      <c r="D23" s="69" t="inlineStr">
        <is>
          <t>F1</t>
        </is>
      </c>
      <c r="E23" s="69" t="inlineStr">
        <is>
          <t>Difference vs Paper Max</t>
        </is>
      </c>
      <c r="F23" s="69" t="inlineStr">
        <is>
          <t>Source</t>
        </is>
      </c>
    </row>
    <row r="24">
      <c r="A24" s="93" t="inlineStr">
        <is>
          <t>Paper — Class Weight 40</t>
        </is>
      </c>
      <c r="B24" s="93" t="inlineStr">
        <is>
          <t>PrimeVul</t>
        </is>
      </c>
      <c r="C24" s="94" t="n">
        <v>95.98999999999999</v>
      </c>
      <c r="D24" s="95" t="n">
        <v>26.28</v>
      </c>
      <c r="E24" s="96" t="n">
        <v>0</v>
      </c>
      <c r="F24" s="97" t="inlineStr">
        <is>
          <t>Supplied paper Table VI</t>
        </is>
      </c>
    </row>
    <row r="25">
      <c r="A25" s="93" t="inlineStr">
        <is>
          <t>Paper — PV→PV (UC)</t>
        </is>
      </c>
      <c r="B25" s="93" t="inlineStr">
        <is>
          <t>PrimeVul</t>
        </is>
      </c>
      <c r="C25" s="94" t="n">
        <v>96.86</v>
      </c>
      <c r="D25" s="95" t="n">
        <v>21.43</v>
      </c>
      <c r="E25" s="96" t="n">
        <v>-4.85</v>
      </c>
      <c r="F25" s="97" t="inlineStr">
        <is>
          <t>Supplied paper PV→PV table</t>
        </is>
      </c>
    </row>
    <row r="26">
      <c r="A26" s="98" t="inlineStr">
        <is>
          <t>Our Model — Natural</t>
        </is>
      </c>
      <c r="B26" s="98" t="inlineStr">
        <is>
          <t>PrimeVul</t>
        </is>
      </c>
      <c r="C26" s="99" t="n">
        <v>95.45999999999999</v>
      </c>
      <c r="D26" s="95" t="n">
        <v>28.75</v>
      </c>
      <c r="E26" s="96" t="n">
        <v>2.47</v>
      </c>
      <c r="F26" s="97" t="inlineStr">
        <is>
          <t>Our results</t>
        </is>
      </c>
    </row>
    <row r="27" ht="26.4" customHeight="1">
      <c r="A27" s="98" t="inlineStr">
        <is>
          <t>Our Model — Balanced</t>
        </is>
      </c>
      <c r="B27" s="98" t="inlineStr">
        <is>
          <t>PrimeVul</t>
        </is>
      </c>
      <c r="C27" s="99" t="n">
        <v>64.70999999999999</v>
      </c>
      <c r="D27" s="95" t="n">
        <v>48.42</v>
      </c>
      <c r="E27" s="96" t="n">
        <v>22.14</v>
      </c>
      <c r="F27" s="97" t="inlineStr">
        <is>
          <t>Our results</t>
        </is>
      </c>
    </row>
    <row r="29">
      <c r="A29" s="100" t="inlineStr">
        <is>
          <t>PV = PrimeVul. BV = BigVul. BV results are not used in this comparison.</t>
        </is>
      </c>
    </row>
  </sheetData>
  <mergeCells count="3">
    <mergeCell ref="A1:F1"/>
    <mergeCell ref="A12:F12"/>
    <mergeCell ref="A29:F29"/>
  </mergeCell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zoomScaleNormal="100" workbookViewId="0">
      <selection activeCell="A1" sqref="A1:E1"/>
    </sheetView>
  </sheetViews>
  <sheetFormatPr baseColWidth="8" defaultColWidth="8.6640625" defaultRowHeight="14.4"/>
  <cols>
    <col width="12" customWidth="1" min="1" max="1"/>
    <col width="46" customWidth="1" min="2" max="2"/>
    <col width="20" customWidth="1" min="3" max="3"/>
    <col width="26" customWidth="1" min="4" max="4"/>
    <col width="55" customWidth="1" min="5" max="5"/>
  </cols>
  <sheetData>
    <row r="1" ht="27.75" customHeight="1">
      <c r="A1" s="28" t="inlineStr">
        <is>
          <t>Session &amp; Timing Breakdown</t>
        </is>
      </c>
    </row>
    <row r="2" ht="15.75" customHeight="1">
      <c r="A2" s="29" t="inlineStr">
        <is>
          <t>Hardware: Kaggle, 2x Tesla T4 (14.56GB each), single-GPU execution (Unsloth requirement)</t>
        </is>
      </c>
    </row>
    <row r="3"/>
    <row r="4" ht="27.6" customHeight="1">
      <c r="A4" s="2" t="inlineStr">
        <is>
          <t>Session</t>
        </is>
      </c>
      <c r="B4" s="2" t="inlineStr">
        <is>
          <t>Stage</t>
        </is>
      </c>
      <c r="C4" s="2" t="inlineStr">
        <is>
          <t>Elapsed Time (hours)</t>
        </is>
      </c>
      <c r="D4" s="2" t="inlineStr">
        <is>
          <t>Cumulative in Session (hours)</t>
        </is>
      </c>
      <c r="E4" s="2" t="inlineStr">
        <is>
          <t>Notes</t>
        </is>
      </c>
    </row>
    <row r="5">
      <c r="A5" s="3" t="inlineStr">
        <is>
          <t>Session 1</t>
        </is>
      </c>
      <c r="B5" s="3" t="inlineStr">
        <is>
          <t>Setup (install, load model, load data)</t>
        </is>
      </c>
      <c r="C5" s="23" t="n">
        <v>0.08799999999999999</v>
      </c>
      <c r="D5" s="23" t="n">
        <v>0.08799999999999999</v>
      </c>
      <c r="E5" s="3" t="inlineStr">
        <is>
          <t>Includes Unsloth patching, PrimeVul load, LoRA init</t>
        </is>
      </c>
    </row>
    <row r="6">
      <c r="A6" s="3" t="inlineStr">
        <is>
          <t>Session 1</t>
        </is>
      </c>
      <c r="B6" s="3" t="inlineStr">
        <is>
          <t>Epoch 1 (train + val)</t>
        </is>
      </c>
      <c r="C6" s="23" t="n">
        <v>3.665</v>
      </c>
      <c r="D6" s="23" t="n">
        <v>3.665</v>
      </c>
      <c r="E6" s="3" t="n"/>
    </row>
    <row r="7">
      <c r="A7" s="3" t="inlineStr">
        <is>
          <t>Session 1</t>
        </is>
      </c>
      <c r="B7" s="3" t="inlineStr">
        <is>
          <t>Epoch 2 (train + val)</t>
        </is>
      </c>
      <c r="C7" s="23" t="n">
        <v>3.631</v>
      </c>
      <c r="D7" s="23" t="n">
        <v>7.3</v>
      </c>
      <c r="E7" s="3" t="inlineStr">
        <is>
          <t>STOP_AFTER_EPOCH=2 halted here by design</t>
        </is>
      </c>
    </row>
    <row r="8">
      <c r="A8" s="3" t="inlineStr">
        <is>
          <t>Session 2</t>
        </is>
      </c>
      <c r="B8" s="3" t="inlineStr">
        <is>
          <t>Setup + resume checkpoint copy + model reload</t>
        </is>
      </c>
      <c r="C8" s="23" t="n">
        <v>0.08699999999999999</v>
      </c>
      <c r="D8" s="23" t="n">
        <v>0.08699999999999999</v>
      </c>
      <c r="E8" s="3" t="inlineStr">
        <is>
          <t>Copied checkpoint from read-only Kaggle input dataset</t>
        </is>
      </c>
    </row>
    <row r="9">
      <c r="A9" s="3" t="inlineStr">
        <is>
          <t>Session 2</t>
        </is>
      </c>
      <c r="B9" s="3" t="inlineStr">
        <is>
          <t>Epoch 3 (train + val, resumed)</t>
        </is>
      </c>
      <c r="C9" s="23" t="n">
        <v>3.467</v>
      </c>
      <c r="D9" s="23" t="n">
        <v>3.554</v>
      </c>
      <c r="E9" s="3" t="inlineStr">
        <is>
          <t>LR schedule fast-forwarded to correct position on resume</t>
        </is>
      </c>
    </row>
    <row r="10">
      <c r="A10" s="3" t="inlineStr">
        <is>
          <t>Session 2</t>
        </is>
      </c>
      <c r="B10" s="3" t="inlineStr">
        <is>
          <t>Threshold tuning (3,000 samples)</t>
        </is>
      </c>
      <c r="C10" s="23" t="n">
        <v>1.022</v>
      </c>
      <c r="D10" s="23" t="n">
        <v>4.576</v>
      </c>
      <c r="E10" s="3" t="n"/>
    </row>
    <row r="11">
      <c r="A11" s="3" t="inlineStr">
        <is>
          <t>Session 2</t>
        </is>
      </c>
      <c r="B11" s="3" t="inlineStr">
        <is>
          <t>Primary evaluation (17,580 samples)</t>
        </is>
      </c>
      <c r="C11" s="23" t="n">
        <v>5.823</v>
      </c>
      <c r="D11" s="23" t="n">
        <v>10.399</v>
      </c>
      <c r="E11" s="3" t="inlineStr">
        <is>
          <t>~19-20 seconds per batch of 16, forward-only</t>
        </is>
      </c>
    </row>
    <row r="12">
      <c r="A12" s="3" t="inlineStr">
        <is>
          <t>Session 2</t>
        </is>
      </c>
      <c r="B12" s="3" t="inlineStr">
        <is>
          <t>Secondary evaluation (972 samples)</t>
        </is>
      </c>
      <c r="C12" s="23" t="n">
        <v>0.36</v>
      </c>
      <c r="D12" s="23" t="n">
        <v>10.76</v>
      </c>
      <c r="E12" s="3" t="n"/>
    </row>
    <row r="13">
      <c r="A13" s="3" t="inlineStr">
        <is>
          <t>Session 2</t>
        </is>
      </c>
      <c r="B13" s="3" t="inlineStr">
        <is>
          <t>Model save</t>
        </is>
      </c>
      <c r="C13" s="23" t="n">
        <v>0.001</v>
      </c>
      <c r="D13" s="23" t="n">
        <v>10.761</v>
      </c>
      <c r="E13" s="3" t="inlineStr">
        <is>
          <t>Instant — just writes files</t>
        </is>
      </c>
    </row>
    <row r="14">
      <c r="A14" s="24" t="inlineStr">
        <is>
          <t>Session 2</t>
        </is>
      </c>
      <c r="B14" s="24" t="inlineStr">
        <is>
          <t>Reload verification (FAILED)</t>
        </is>
      </c>
      <c r="C14" s="25" t="n">
        <v>0.007</v>
      </c>
      <c r="D14" s="25" t="n">
        <v>10.768</v>
      </c>
      <c r="E14" s="24" t="inlineStr">
        <is>
          <t>Crashed ~7 seconds in — CUDA OOM on 2nd model load</t>
        </is>
      </c>
    </row>
    <row r="16" ht="15.6" customHeight="1">
      <c r="A16" s="1" t="inlineStr">
        <is>
          <t>Session Totals</t>
        </is>
      </c>
    </row>
    <row r="17">
      <c r="A17" s="2" t="inlineStr">
        <is>
          <t>Session</t>
        </is>
      </c>
      <c r="B17" s="2" t="inlineStr">
        <is>
          <t>Total Hours Used</t>
        </is>
      </c>
      <c r="C17" s="2" t="inlineStr">
        <is>
          <t>Kaggle Limit</t>
        </is>
      </c>
      <c r="D17" s="2" t="inlineStr">
        <is>
          <t>Margin</t>
        </is>
      </c>
    </row>
    <row r="18">
      <c r="A18" s="3" t="inlineStr">
        <is>
          <t>Session 1</t>
        </is>
      </c>
      <c r="B18" s="15" t="n">
        <v>7.3</v>
      </c>
      <c r="C18" s="3" t="n">
        <v>12</v>
      </c>
      <c r="D18" s="15">
        <f>C18-B18</f>
        <v/>
      </c>
    </row>
    <row r="19" ht="39.6" customHeight="1">
      <c r="A19" s="3" t="inlineStr">
        <is>
          <t>Session 2 (excl. reload-verify crash)</t>
        </is>
      </c>
      <c r="B19" s="15" t="n">
        <v>10.761</v>
      </c>
      <c r="C19" s="3" t="n">
        <v>12</v>
      </c>
      <c r="D19" s="15">
        <f>C19-B19</f>
        <v/>
      </c>
    </row>
  </sheetData>
  <mergeCells count="2">
    <mergeCell ref="A2:E2"/>
    <mergeCell ref="A1:E1"/>
  </mergeCells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7" customWidth="1" min="2" max="2"/>
    <col width="13" customWidth="1" min="3" max="3"/>
    <col width="18" customWidth="1" min="4" max="4"/>
    <col width="18" customWidth="1" min="5" max="5"/>
    <col width="23" customWidth="1" min="6" max="6"/>
    <col width="18" customWidth="1" min="7" max="7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30" customHeight="1">
      <c r="A1" s="37" t="inlineStr">
        <is>
          <t>PrimeVul Paper vs Our Classification Results</t>
        </is>
      </c>
    </row>
    <row r="2" ht="22" customHeight="1">
      <c r="A2" s="84" t="inlineStr">
        <is>
          <t>PrimeVul (PV) comparison; BigVul (BV) results are excluded.</t>
        </is>
      </c>
    </row>
    <row r="3"/>
    <row r="4">
      <c r="A4" s="62" t="inlineStr">
        <is>
          <t>Paper Results — PrimeVul Class-Weight Experiment</t>
        </is>
      </c>
    </row>
    <row r="5">
      <c r="A5" s="63" t="inlineStr">
        <is>
          <t>Class Weight</t>
        </is>
      </c>
      <c r="B5" s="63" t="inlineStr">
        <is>
          <t>Accuracy</t>
        </is>
      </c>
      <c r="C5" s="63" t="inlineStr">
        <is>
          <t>F1</t>
        </is>
      </c>
      <c r="D5" s="63" t="inlineStr">
        <is>
          <t>VD-S</t>
        </is>
      </c>
      <c r="E5" s="63" t="inlineStr">
        <is>
          <t>P-C</t>
        </is>
      </c>
      <c r="F5" s="63" t="inlineStr">
        <is>
          <t>P-V</t>
        </is>
      </c>
      <c r="G5" s="63" t="inlineStr">
        <is>
          <t>P-B / P-R</t>
        </is>
      </c>
    </row>
    <row r="6">
      <c r="A6" s="64" t="n">
        <v>1</v>
      </c>
      <c r="B6" s="65" t="n">
        <v>96.86</v>
      </c>
      <c r="C6" s="65" t="n">
        <v>21.43</v>
      </c>
      <c r="D6" s="65" t="n">
        <v>89.20999999999999</v>
      </c>
      <c r="E6" s="65" t="n">
        <v>1.6</v>
      </c>
      <c r="F6" s="65" t="n">
        <v>12.06</v>
      </c>
      <c r="G6" s="64" t="inlineStr">
        <is>
          <t>85.11 / 1.24</t>
        </is>
      </c>
    </row>
    <row r="7">
      <c r="A7" s="64" t="n">
        <v>5</v>
      </c>
      <c r="B7" s="65" t="n">
        <v>96.23999999999999</v>
      </c>
      <c r="C7" s="65" t="n">
        <v>25.29</v>
      </c>
      <c r="D7" s="65" t="n">
        <v>90.65000000000001</v>
      </c>
      <c r="E7" s="65" t="n">
        <v>1.77</v>
      </c>
      <c r="F7" s="65" t="n">
        <v>18.97</v>
      </c>
      <c r="G7" s="64" t="inlineStr">
        <is>
          <t>78.55 / 0.71</t>
        </is>
      </c>
    </row>
    <row r="8">
      <c r="A8" s="64" t="n">
        <v>20</v>
      </c>
      <c r="B8" s="65" t="n">
        <v>95.28</v>
      </c>
      <c r="C8" s="65" t="n">
        <v>24.26</v>
      </c>
      <c r="D8" s="65" t="n">
        <v>88.92</v>
      </c>
      <c r="E8" s="65" t="n">
        <v>0.89</v>
      </c>
      <c r="F8" s="65" t="n">
        <v>25.71</v>
      </c>
      <c r="G8" s="64" t="inlineStr">
        <is>
          <t>72.16 / 1.24</t>
        </is>
      </c>
    </row>
    <row r="9">
      <c r="A9" s="64" t="n">
        <v>30</v>
      </c>
      <c r="B9" s="65" t="n">
        <v>96.14</v>
      </c>
      <c r="C9" s="65" t="n">
        <v>24.49</v>
      </c>
      <c r="D9" s="65" t="n">
        <v>90.06999999999999</v>
      </c>
      <c r="E9" s="65" t="n">
        <v>2.13</v>
      </c>
      <c r="F9" s="65" t="n">
        <v>18.09</v>
      </c>
      <c r="G9" s="64" t="inlineStr">
        <is>
          <t>78.01 / 1.77</t>
        </is>
      </c>
    </row>
    <row r="10">
      <c r="A10" s="66" t="n">
        <v>40</v>
      </c>
      <c r="B10" s="67" t="n">
        <v>95.98999999999999</v>
      </c>
      <c r="C10" s="67" t="n">
        <v>26.28</v>
      </c>
      <c r="D10" s="67" t="n">
        <v>88.48999999999999</v>
      </c>
      <c r="E10" s="67" t="n">
        <v>1.42</v>
      </c>
      <c r="F10" s="67" t="n">
        <v>22.52</v>
      </c>
      <c r="G10" s="66" t="inlineStr">
        <is>
          <t>74.82 / 1.24</t>
        </is>
      </c>
    </row>
    <row r="12">
      <c r="A12" s="53" t="inlineStr">
        <is>
          <t>Paper Results — PrimeVul (PV) → PrimeVul (PV)</t>
        </is>
      </c>
    </row>
    <row r="13">
      <c r="A13" s="78" t="inlineStr">
        <is>
          <t>Model</t>
        </is>
      </c>
      <c r="B13" s="78" t="inlineStr">
        <is>
          <t>Train</t>
        </is>
      </c>
      <c r="C13" s="78" t="inlineStr">
        <is>
          <t>Test</t>
        </is>
      </c>
      <c r="D13" s="78" t="inlineStr">
        <is>
          <t>Accuracy</t>
        </is>
      </c>
      <c r="E13" s="78" t="inlineStr">
        <is>
          <t>F1</t>
        </is>
      </c>
      <c r="F13" s="78" t="inlineStr">
        <is>
          <t>VD-S</t>
        </is>
      </c>
      <c r="G13" s="78" t="inlineStr">
        <is>
          <t>Result</t>
        </is>
      </c>
    </row>
    <row r="14">
      <c r="A14" s="85" t="inlineStr">
        <is>
          <t>CT5</t>
        </is>
      </c>
      <c r="B14" s="85" t="inlineStr">
        <is>
          <t>PV</t>
        </is>
      </c>
      <c r="C14" s="85" t="inlineStr">
        <is>
          <t>PV</t>
        </is>
      </c>
      <c r="D14" s="86" t="n">
        <v>96.67</v>
      </c>
      <c r="E14" s="86" t="n">
        <v>19.7</v>
      </c>
      <c r="F14" s="86" t="n">
        <v>89.93000000000001</v>
      </c>
      <c r="G14" s="85" t="inlineStr">
        <is>
          <t>Paper</t>
        </is>
      </c>
    </row>
    <row r="15">
      <c r="A15" s="85" t="inlineStr">
        <is>
          <t>CB</t>
        </is>
      </c>
      <c r="B15" s="85" t="inlineStr">
        <is>
          <t>PV</t>
        </is>
      </c>
      <c r="C15" s="85" t="inlineStr">
        <is>
          <t>PV</t>
        </is>
      </c>
      <c r="D15" s="86" t="n">
        <v>96.87</v>
      </c>
      <c r="E15" s="86" t="n">
        <v>20.86</v>
      </c>
      <c r="F15" s="86" t="n">
        <v>88.78</v>
      </c>
      <c r="G15" s="85" t="inlineStr">
        <is>
          <t>Paper</t>
        </is>
      </c>
    </row>
    <row r="16">
      <c r="A16" s="87" t="inlineStr">
        <is>
          <t>UC</t>
        </is>
      </c>
      <c r="B16" s="87" t="inlineStr">
        <is>
          <t>PV</t>
        </is>
      </c>
      <c r="C16" s="87" t="inlineStr">
        <is>
          <t>PV</t>
        </is>
      </c>
      <c r="D16" s="88" t="n">
        <v>96.86</v>
      </c>
      <c r="E16" s="88" t="n">
        <v>21.43</v>
      </c>
      <c r="F16" s="88" t="n">
        <v>89.20999999999999</v>
      </c>
      <c r="G16" s="87" t="inlineStr">
        <is>
          <t>Paper</t>
        </is>
      </c>
    </row>
    <row r="17">
      <c r="A17" s="85" t="inlineStr">
        <is>
          <t>SC2</t>
        </is>
      </c>
      <c r="B17" s="85" t="inlineStr">
        <is>
          <t>PV</t>
        </is>
      </c>
      <c r="C17" s="85" t="inlineStr">
        <is>
          <t>PV</t>
        </is>
      </c>
      <c r="D17" s="86" t="n">
        <v>97.02</v>
      </c>
      <c r="E17" s="86" t="n">
        <v>18.05</v>
      </c>
      <c r="F17" s="86" t="n">
        <v>89.64</v>
      </c>
      <c r="G17" s="85" t="inlineStr">
        <is>
          <t>Paper</t>
        </is>
      </c>
    </row>
    <row r="18">
      <c r="A18" s="85" t="inlineStr">
        <is>
          <t>CG2.5</t>
        </is>
      </c>
      <c r="B18" s="85" t="inlineStr">
        <is>
          <t>PV</t>
        </is>
      </c>
      <c r="C18" s="85" t="inlineStr">
        <is>
          <t>PV</t>
        </is>
      </c>
      <c r="D18" s="86" t="n">
        <v>96.65000000000001</v>
      </c>
      <c r="E18" s="86" t="n">
        <v>19.61</v>
      </c>
      <c r="F18" s="86" t="n">
        <v>91.51000000000001</v>
      </c>
      <c r="G18" s="85" t="inlineStr">
        <is>
          <t>Paper</t>
        </is>
      </c>
    </row>
    <row r="21">
      <c r="A21" s="89" t="inlineStr">
        <is>
          <t>Our Results — PrimeVul</t>
        </is>
      </c>
    </row>
    <row r="22">
      <c r="A22" s="69" t="inlineStr">
        <is>
          <t>Evaluation</t>
        </is>
      </c>
      <c r="B22" s="69" t="inlineStr">
        <is>
          <t>Test Size</t>
        </is>
      </c>
      <c r="C22" s="69" t="inlineStr">
        <is>
          <t>Accuracy</t>
        </is>
      </c>
      <c r="D22" s="69" t="inlineStr">
        <is>
          <t>Precision (Vulnerable)</t>
        </is>
      </c>
      <c r="E22" s="69" t="inlineStr">
        <is>
          <t>Recall (Vulnerable)</t>
        </is>
      </c>
      <c r="F22" s="69" t="inlineStr">
        <is>
          <t>F1 (Vulnerable)</t>
        </is>
      </c>
      <c r="G22" s="69" t="inlineStr">
        <is>
          <t>Threshold</t>
        </is>
      </c>
    </row>
    <row r="23">
      <c r="A23" s="70" t="inlineStr">
        <is>
          <t>Natural-distribution test</t>
        </is>
      </c>
      <c r="B23" s="70" t="n">
        <v>17580</v>
      </c>
      <c r="C23" s="71" t="n">
        <v>95.45999999999999</v>
      </c>
      <c r="D23" s="71" t="n">
        <v>25.39</v>
      </c>
      <c r="E23" s="71" t="n">
        <v>33.13</v>
      </c>
      <c r="F23" s="71" t="n">
        <v>28.75</v>
      </c>
      <c r="G23" s="71" t="n">
        <v>0.66</v>
      </c>
    </row>
    <row r="24">
      <c r="A24" s="70" t="inlineStr">
        <is>
          <t>Balanced 50/50 test subset</t>
        </is>
      </c>
      <c r="B24" s="70" t="n">
        <v>972</v>
      </c>
      <c r="C24" s="71" t="n">
        <v>64.70999999999999</v>
      </c>
      <c r="D24" s="71" t="n">
        <v>89.94</v>
      </c>
      <c r="E24" s="71" t="n">
        <v>33.13</v>
      </c>
      <c r="F24" s="71" t="n">
        <v>48.42</v>
      </c>
      <c r="G24" s="71" t="n">
        <v>0.66</v>
      </c>
    </row>
    <row r="27">
      <c r="A27" s="90" t="inlineStr">
        <is>
          <t>Direct F1 Comparison on PrimeVul</t>
        </is>
      </c>
    </row>
    <row r="28">
      <c r="A28" s="83" t="inlineStr">
        <is>
          <t>Result</t>
        </is>
      </c>
      <c r="B28" s="83" t="inlineStr">
        <is>
          <t>Dataset / Condition</t>
        </is>
      </c>
      <c r="C28" s="83" t="inlineStr">
        <is>
          <t>F1</t>
        </is>
      </c>
      <c r="D28" s="83" t="inlineStr">
        <is>
          <t>Difference vs Paper Max</t>
        </is>
      </c>
      <c r="E28" s="83" t="inlineStr">
        <is>
          <t>Accuracy</t>
        </is>
      </c>
      <c r="F28" s="83" t="inlineStr">
        <is>
          <t>Precision (Vulnerable)</t>
        </is>
      </c>
      <c r="G28" s="83" t="inlineStr">
        <is>
          <t>Recall (Vulnerable)</t>
        </is>
      </c>
    </row>
    <row r="29">
      <c r="A29" s="70" t="inlineStr">
        <is>
          <t>Paper — Class Weight 40</t>
        </is>
      </c>
      <c r="B29" s="70" t="inlineStr">
        <is>
          <t>PrimeVul</t>
        </is>
      </c>
      <c r="C29" s="72" t="n">
        <v>26.28</v>
      </c>
      <c r="D29" s="73" t="n">
        <v>0</v>
      </c>
      <c r="E29" s="71" t="n">
        <v>95.98999999999999</v>
      </c>
      <c r="F29" s="70" t="inlineStr">
        <is>
          <t>—</t>
        </is>
      </c>
      <c r="G29" s="70" t="inlineStr">
        <is>
          <t>—</t>
        </is>
      </c>
    </row>
    <row r="30">
      <c r="A30" s="70" t="inlineStr">
        <is>
          <t>Paper — PV→PV (UC)</t>
        </is>
      </c>
      <c r="B30" s="70" t="inlineStr">
        <is>
          <t>PrimeVul</t>
        </is>
      </c>
      <c r="C30" s="72" t="n">
        <v>21.43</v>
      </c>
      <c r="D30" s="73" t="n">
        <v>-4.85</v>
      </c>
      <c r="E30" s="71" t="n">
        <v>96.86</v>
      </c>
      <c r="F30" s="70" t="inlineStr">
        <is>
          <t>—</t>
        </is>
      </c>
      <c r="G30" s="70" t="inlineStr">
        <is>
          <t>—</t>
        </is>
      </c>
    </row>
    <row r="31">
      <c r="A31" s="74" t="inlineStr">
        <is>
          <t>Our Model — Natural</t>
        </is>
      </c>
      <c r="B31" s="74" t="inlineStr">
        <is>
          <t>PrimeVul</t>
        </is>
      </c>
      <c r="C31" s="76" t="n">
        <v>28.75</v>
      </c>
      <c r="D31" s="77" t="n">
        <v>2.47</v>
      </c>
      <c r="E31" s="75" t="n">
        <v>95.45999999999999</v>
      </c>
      <c r="F31" s="75" t="n">
        <v>25.39</v>
      </c>
      <c r="G31" s="75" t="n">
        <v>33.13</v>
      </c>
    </row>
    <row r="32">
      <c r="A32" s="74" t="inlineStr">
        <is>
          <t>Our Model — Balanced</t>
        </is>
      </c>
      <c r="B32" s="74" t="inlineStr">
        <is>
          <t>PrimeVul</t>
        </is>
      </c>
      <c r="C32" s="76" t="n">
        <v>48.42</v>
      </c>
      <c r="D32" s="77" t="n">
        <v>22.14</v>
      </c>
      <c r="E32" s="75" t="n">
        <v>64.70999999999999</v>
      </c>
      <c r="F32" s="75" t="n">
        <v>89.94</v>
      </c>
      <c r="G32" s="75" t="n">
        <v>33.13</v>
      </c>
    </row>
    <row r="35">
      <c r="A35" s="91" t="inlineStr">
        <is>
          <t>PV = PrimeVul. BV = BigVul. Only PrimeVul results are used in the direct comparison.</t>
        </is>
      </c>
    </row>
  </sheetData>
  <mergeCells count="7">
    <mergeCell ref="A1:G1"/>
    <mergeCell ref="A27:G27"/>
    <mergeCell ref="A21:G21"/>
    <mergeCell ref="A12:G12"/>
    <mergeCell ref="A4:G4"/>
    <mergeCell ref="A35:G35"/>
    <mergeCell ref="A2:G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2026-08-21T04:07:13Z</dcterms:created>
  <dcterms:modified xmlns:dcterms="http://purl.org/dc/terms/" xmlns:xsi="http://www.w3.org/2001/XMLSchema-instance" xsi:type="dcterms:W3CDTF">2026-09-17T04:30:26Z</dcterms:modified>
  <cp:lastModifiedBy>Abeer Chourey</cp:lastModifiedBy>
  <cp:revision>1</cp:revision>
</cp:coreProperties>
</file>