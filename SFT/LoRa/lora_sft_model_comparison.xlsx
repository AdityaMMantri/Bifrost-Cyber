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SEM-7\Capstone\SFT\LoRa\"/>
    </mc:Choice>
  </mc:AlternateContent>
  <xr:revisionPtr revIDLastSave="0" documentId="13_ncr:1_{552B0BAA-2CDF-4DDE-9635-47AB26C281A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d Team Comparison" sheetId="1" r:id="rId1"/>
    <sheet name="Red Loss Curve" sheetId="3" r:id="rId2"/>
    <sheet name="Blue Team Comparison" sheetId="2" r:id="rId3"/>
    <sheet name="Blue Loss Curv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2" l="1"/>
  <c r="C31" i="2"/>
  <c r="B31" i="2"/>
  <c r="D30" i="2"/>
  <c r="C30" i="2"/>
  <c r="B30" i="2"/>
  <c r="D27" i="2"/>
  <c r="C27" i="2"/>
  <c r="B27" i="2"/>
  <c r="D18" i="2"/>
  <c r="C18" i="2"/>
  <c r="B18" i="2"/>
  <c r="D30" i="1"/>
  <c r="C30" i="1"/>
  <c r="B30" i="1"/>
  <c r="D29" i="1"/>
  <c r="C29" i="1"/>
  <c r="B29" i="1"/>
  <c r="D26" i="1"/>
  <c r="C26" i="1"/>
  <c r="B26" i="1"/>
  <c r="D18" i="1"/>
  <c r="C18" i="1"/>
  <c r="B18" i="1"/>
</calcChain>
</file>

<file path=xl/sharedStrings.xml><?xml version="1.0" encoding="utf-8"?>
<sst xmlns="http://schemas.openxmlformats.org/spreadsheetml/2006/main" count="92" uniqueCount="43">
  <si>
    <t>RED TEAM — LoRA SFT Model Comparison</t>
  </si>
  <si>
    <t>Parameter</t>
  </si>
  <si>
    <t>Qwen2.5-7B-Instruct</t>
  </si>
  <si>
    <t>Qwen3-8B</t>
  </si>
  <si>
    <t>Meta-Llama-3.1-8B-Instruct</t>
  </si>
  <si>
    <t>Base Model</t>
  </si>
  <si>
    <t>unsloth/Qwen2.5-7B-Instruct</t>
  </si>
  <si>
    <t>unsloth/Qwen3-8B</t>
  </si>
  <si>
    <t>unsloth/Meta-Llama-3.1-8B-Instruct</t>
  </si>
  <si>
    <t>Unsloth Version</t>
  </si>
  <si>
    <t>2026.7.6</t>
  </si>
  <si>
    <t>Sequence Length</t>
  </si>
  <si>
    <t>4-bit Loading</t>
  </si>
  <si>
    <t>True</t>
  </si>
  <si>
    <t>Epochs</t>
  </si>
  <si>
    <t>Batch Size</t>
  </si>
  <si>
    <t>Gradient Accumulation</t>
  </si>
  <si>
    <t>Total Steps</t>
  </si>
  <si>
    <t>LoRA Layers Patched</t>
  </si>
  <si>
    <t>LoRA Rank (r)</t>
  </si>
  <si>
    <t>LoRA Alpha</t>
  </si>
  <si>
    <t>LoRA Dropout</t>
  </si>
  <si>
    <t>Trainable Parameters</t>
  </si>
  <si>
    <t>Total Parameters</t>
  </si>
  <si>
    <t>Trainable % of Total</t>
  </si>
  <si>
    <t>Loss @ Step 10</t>
  </si>
  <si>
    <t>Loss @ Step 20</t>
  </si>
  <si>
    <t>Loss @ Step 30</t>
  </si>
  <si>
    <t>Loss @ Step 40</t>
  </si>
  <si>
    <t>Loss @ Step 50</t>
  </si>
  <si>
    <t>Loss @ Step 60</t>
  </si>
  <si>
    <t>Final Training Loss</t>
  </si>
  <si>
    <t>Loss Reduction (Step10 -&gt; Final)</t>
  </si>
  <si>
    <t>Training Time (minutes)</t>
  </si>
  <si>
    <t>Training Time (hours)</t>
  </si>
  <si>
    <t>Avg. Minutes / Step</t>
  </si>
  <si>
    <t>Avg. Minutes / Epoch</t>
  </si>
  <si>
    <t>Note: Green highlight = best value in this table (lowest final loss / fastest training time). Blank cells mean that field was not printed in the corresponding training log.</t>
  </si>
  <si>
    <t>BLUE TEAM — LoRA SFT Model Comparison</t>
  </si>
  <si>
    <t>Loss @ Step 70</t>
  </si>
  <si>
    <t>Red Team — Training Loss Curve</t>
  </si>
  <si>
    <t>Step</t>
  </si>
  <si>
    <t>Blue Team — Training Loss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</si>
</sst>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4E78"/>
        <bgColor rgb="FF2E5FA3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2E5FA3"/>
        <b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wrapText="1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D9E1F2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Red Team — Training Loss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'Red Loss Curve'!$B$3</c:f>
              <c:strCache>
                <c:ptCount val="1"/>
                <c:pt idx="0">
                  <c:v>Qwen2.5-7B-Instruct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'Red Loss Curve'!$A$4:$A$9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'Red Loss Curve'!$B$4:$B$9</c:f>
              <c:numCache>
                <c:formatCode>0.0000</c:formatCode>
                <c:ptCount val="6"/>
                <c:pt idx="0">
                  <c:v>2.034192</c:v>
                </c:pt>
                <c:pt idx="1">
                  <c:v>1.491079</c:v>
                </c:pt>
                <c:pt idx="2">
                  <c:v>1.2194929999999999</c:v>
                </c:pt>
                <c:pt idx="3">
                  <c:v>1.0507470000000001</c:v>
                </c:pt>
                <c:pt idx="4">
                  <c:v>0.90023500000000001</c:v>
                </c:pt>
                <c:pt idx="5">
                  <c:v>0.77592499999999998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A9-481E-B0C4-F1144AC8D00A}"/>
            </c:ext>
          </c:extLst>
        </c:ser>
        <c:ser>
          <c:idx val="1"/>
          <c:order val="1"/>
          <c:tx>
            <c:strRef>
              <c:f>'Red Loss Curve'!$C$3</c:f>
              <c:strCache>
                <c:ptCount val="1"/>
                <c:pt idx="0">
                  <c:v>Qwen3-8B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'Red Loss Curve'!$A$4:$A$9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'Red Loss Curve'!$C$4:$C$9</c:f>
              <c:numCache>
                <c:formatCode>0.0000</c:formatCode>
                <c:ptCount val="6"/>
                <c:pt idx="0">
                  <c:v>2.1346560000000001</c:v>
                </c:pt>
                <c:pt idx="1">
                  <c:v>1.4956199999999999</c:v>
                </c:pt>
                <c:pt idx="2">
                  <c:v>1.2526109999999999</c:v>
                </c:pt>
                <c:pt idx="3">
                  <c:v>1.121248</c:v>
                </c:pt>
                <c:pt idx="4">
                  <c:v>0.97016199999999997</c:v>
                </c:pt>
                <c:pt idx="5">
                  <c:v>0.87440700000000005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A9-481E-B0C4-F1144AC8D00A}"/>
            </c:ext>
          </c:extLst>
        </c:ser>
        <c:ser>
          <c:idx val="2"/>
          <c:order val="2"/>
          <c:tx>
            <c:strRef>
              <c:f>'Red Loss Curve'!$D$3</c:f>
              <c:strCache>
                <c:ptCount val="1"/>
                <c:pt idx="0">
                  <c:v>Meta-Llama-3.1-8B-Instruct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'Red Loss Curve'!$A$4:$A$9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'Red Loss Curve'!$D$4:$D$9</c:f>
              <c:numCache>
                <c:formatCode>0.0000</c:formatCode>
                <c:ptCount val="6"/>
                <c:pt idx="0">
                  <c:v>1.832441</c:v>
                </c:pt>
                <c:pt idx="1">
                  <c:v>1.3840859999999999</c:v>
                </c:pt>
                <c:pt idx="2">
                  <c:v>1.0746789999999999</c:v>
                </c:pt>
                <c:pt idx="3">
                  <c:v>0.93673499999999998</c:v>
                </c:pt>
                <c:pt idx="4">
                  <c:v>0.78131499999999998</c:v>
                </c:pt>
                <c:pt idx="5">
                  <c:v>0.62920600000000004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BA9-481E-B0C4-F1144AC8D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302303"/>
        <c:axId val="81229852"/>
      </c:lineChart>
      <c:catAx>
        <c:axId val="56302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29852"/>
        <c:crosses val="autoZero"/>
        <c:auto val="1"/>
        <c:lblAlgn val="ctr"/>
        <c:lblOffset val="100"/>
        <c:noMultiLvlLbl val="0"/>
      </c:catAx>
      <c:valAx>
        <c:axId val="81229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Training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302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Blue Team — Training Loss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'Blue Loss Curve'!$B$3</c:f>
              <c:strCache>
                <c:ptCount val="1"/>
                <c:pt idx="0">
                  <c:v>Qwen2.5-7B-Instruct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'Blue Loss Curve'!$A$4:$A$10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'Blue Loss Curve'!$B$4:$B$10</c:f>
              <c:numCache>
                <c:formatCode>0.0000</c:formatCode>
                <c:ptCount val="7"/>
                <c:pt idx="0">
                  <c:v>2.0398230000000002</c:v>
                </c:pt>
                <c:pt idx="1">
                  <c:v>1.5163709999999999</c:v>
                </c:pt>
                <c:pt idx="2">
                  <c:v>1.1962520000000001</c:v>
                </c:pt>
                <c:pt idx="3">
                  <c:v>1.0577460000000001</c:v>
                </c:pt>
                <c:pt idx="4">
                  <c:v>1.0418510000000001</c:v>
                </c:pt>
                <c:pt idx="5">
                  <c:v>0.78368400000000005</c:v>
                </c:pt>
                <c:pt idx="6">
                  <c:v>0.76998699999999998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B-4C31-AF51-8DC782408888}"/>
            </c:ext>
          </c:extLst>
        </c:ser>
        <c:ser>
          <c:idx val="1"/>
          <c:order val="1"/>
          <c:tx>
            <c:strRef>
              <c:f>'Blue Loss Curve'!$C$3</c:f>
              <c:strCache>
                <c:ptCount val="1"/>
                <c:pt idx="0">
                  <c:v>Qwen3-8B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'Blue Loss Curve'!$A$4:$A$10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'Blue Loss Curve'!$C$4:$C$10</c:f>
              <c:numCache>
                <c:formatCode>0.0000</c:formatCode>
                <c:ptCount val="7"/>
                <c:pt idx="0">
                  <c:v>2.1931289999999999</c:v>
                </c:pt>
                <c:pt idx="1">
                  <c:v>1.5362309999999999</c:v>
                </c:pt>
                <c:pt idx="2">
                  <c:v>1.2443869999999999</c:v>
                </c:pt>
                <c:pt idx="3">
                  <c:v>1.133405</c:v>
                </c:pt>
                <c:pt idx="4">
                  <c:v>1.111192</c:v>
                </c:pt>
                <c:pt idx="5">
                  <c:v>0.87799499999999997</c:v>
                </c:pt>
                <c:pt idx="6">
                  <c:v>0.87429199999999996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1B-4C31-AF51-8DC782408888}"/>
            </c:ext>
          </c:extLst>
        </c:ser>
        <c:ser>
          <c:idx val="2"/>
          <c:order val="2"/>
          <c:tx>
            <c:strRef>
              <c:f>'Blue Loss Curve'!$D$3</c:f>
              <c:strCache>
                <c:ptCount val="1"/>
                <c:pt idx="0">
                  <c:v>Meta-Llama-3.1-8B-Instruct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'Blue Loss Curve'!$A$4:$A$10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cat>
          <c:val>
            <c:numRef>
              <c:f>'Blue Loss Curve'!$D$4:$D$10</c:f>
              <c:numCache>
                <c:formatCode>0.0000</c:formatCode>
                <c:ptCount val="7"/>
                <c:pt idx="0">
                  <c:v>1.8987019999999999</c:v>
                </c:pt>
                <c:pt idx="1">
                  <c:v>1.3997839999999999</c:v>
                </c:pt>
                <c:pt idx="2">
                  <c:v>1.10859</c:v>
                </c:pt>
                <c:pt idx="3">
                  <c:v>0.953376</c:v>
                </c:pt>
                <c:pt idx="4">
                  <c:v>0.84875800000000001</c:v>
                </c:pt>
                <c:pt idx="5">
                  <c:v>0.60974200000000001</c:v>
                </c:pt>
                <c:pt idx="6">
                  <c:v>0.642181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1B-4C31-AF51-8DC78240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263510"/>
        <c:axId val="77245588"/>
      </c:lineChart>
      <c:catAx>
        <c:axId val="472635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45588"/>
        <c:crosses val="autoZero"/>
        <c:auto val="1"/>
        <c:lblAlgn val="ctr"/>
        <c:lblOffset val="100"/>
        <c:noMultiLvlLbl val="0"/>
      </c:catAx>
      <c:valAx>
        <c:axId val="77245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Training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63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149400</xdr:colOff>
      <xdr:row>29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149400</xdr:colOff>
      <xdr:row>30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zoomScaleNormal="10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8.6640625" defaultRowHeight="14.4" x14ac:dyDescent="0.3"/>
  <cols>
    <col min="1" max="1" width="34" customWidth="1"/>
    <col min="2" max="4" width="40" customWidth="1"/>
  </cols>
  <sheetData>
    <row r="1" spans="1:4" ht="25.5" customHeight="1" x14ac:dyDescent="0.3">
      <c r="A1" s="15" t="s">
        <v>0</v>
      </c>
      <c r="B1" s="15"/>
      <c r="C1" s="15"/>
      <c r="D1" s="15"/>
    </row>
    <row r="3" spans="1:4" ht="27.75" customHeight="1" x14ac:dyDescent="0.3">
      <c r="A3" s="13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3" t="s">
        <v>6</v>
      </c>
      <c r="C4" s="3" t="s">
        <v>7</v>
      </c>
      <c r="D4" s="3" t="s">
        <v>8</v>
      </c>
    </row>
    <row r="5" spans="1:4" x14ac:dyDescent="0.3">
      <c r="A5" s="2" t="s">
        <v>9</v>
      </c>
      <c r="B5" s="3" t="s">
        <v>10</v>
      </c>
      <c r="C5" s="3" t="s">
        <v>10</v>
      </c>
      <c r="D5" s="3" t="s">
        <v>10</v>
      </c>
    </row>
    <row r="6" spans="1:4" x14ac:dyDescent="0.3">
      <c r="A6" s="2" t="s">
        <v>11</v>
      </c>
      <c r="B6" s="3">
        <v>7608</v>
      </c>
      <c r="C6" s="3">
        <v>7608</v>
      </c>
      <c r="D6" s="3">
        <v>7608</v>
      </c>
    </row>
    <row r="7" spans="1:4" x14ac:dyDescent="0.3">
      <c r="A7" s="2" t="s">
        <v>12</v>
      </c>
      <c r="B7" s="3" t="b">
        <v>1</v>
      </c>
      <c r="C7" s="3" t="b">
        <v>1</v>
      </c>
      <c r="D7" s="3" t="b">
        <v>1</v>
      </c>
    </row>
    <row r="8" spans="1:4" x14ac:dyDescent="0.3">
      <c r="A8" s="2" t="s">
        <v>14</v>
      </c>
      <c r="B8" s="3">
        <v>3</v>
      </c>
      <c r="C8" s="3">
        <v>3</v>
      </c>
      <c r="D8" s="3">
        <v>3</v>
      </c>
    </row>
    <row r="9" spans="1:4" x14ac:dyDescent="0.3">
      <c r="A9" s="2" t="s">
        <v>15</v>
      </c>
      <c r="B9" s="3">
        <v>1</v>
      </c>
      <c r="C9" s="3">
        <v>1</v>
      </c>
      <c r="D9" s="3">
        <v>1</v>
      </c>
    </row>
    <row r="10" spans="1:4" x14ac:dyDescent="0.3">
      <c r="A10" s="2" t="s">
        <v>16</v>
      </c>
      <c r="B10" s="3">
        <v>16</v>
      </c>
      <c r="C10" s="3">
        <v>16</v>
      </c>
      <c r="D10" s="3">
        <v>16</v>
      </c>
    </row>
    <row r="11" spans="1:4" x14ac:dyDescent="0.3">
      <c r="A11" s="2" t="s">
        <v>17</v>
      </c>
      <c r="B11" s="3">
        <v>69</v>
      </c>
      <c r="C11" s="3">
        <v>69</v>
      </c>
      <c r="D11" s="3">
        <v>69</v>
      </c>
    </row>
    <row r="12" spans="1:4" x14ac:dyDescent="0.3">
      <c r="A12" s="2" t="s">
        <v>18</v>
      </c>
      <c r="B12" s="3">
        <v>28</v>
      </c>
      <c r="C12" s="3">
        <v>36</v>
      </c>
      <c r="D12" s="3">
        <v>32</v>
      </c>
    </row>
    <row r="13" spans="1:4" x14ac:dyDescent="0.3">
      <c r="A13" s="2" t="s">
        <v>19</v>
      </c>
      <c r="B13" s="3">
        <v>32</v>
      </c>
      <c r="C13" s="3">
        <v>32</v>
      </c>
      <c r="D13" s="3">
        <v>32</v>
      </c>
    </row>
    <row r="14" spans="1:4" x14ac:dyDescent="0.3">
      <c r="A14" s="2" t="s">
        <v>20</v>
      </c>
      <c r="B14" s="3">
        <v>64</v>
      </c>
      <c r="C14" s="3">
        <v>64</v>
      </c>
      <c r="D14" s="3">
        <v>64</v>
      </c>
    </row>
    <row r="15" spans="1:4" x14ac:dyDescent="0.3">
      <c r="A15" s="2" t="s">
        <v>21</v>
      </c>
      <c r="B15" s="4">
        <v>0.05</v>
      </c>
      <c r="C15" s="4">
        <v>0.05</v>
      </c>
      <c r="D15" s="4">
        <v>0.05</v>
      </c>
    </row>
    <row r="16" spans="1:4" x14ac:dyDescent="0.3">
      <c r="A16" s="2" t="s">
        <v>22</v>
      </c>
      <c r="B16" s="5">
        <v>80740352</v>
      </c>
      <c r="C16" s="5">
        <v>87293952</v>
      </c>
      <c r="D16" s="5">
        <v>83886080</v>
      </c>
    </row>
    <row r="17" spans="1:4" x14ac:dyDescent="0.3">
      <c r="A17" s="2" t="s">
        <v>23</v>
      </c>
      <c r="B17" s="5">
        <v>4972287488</v>
      </c>
      <c r="C17" s="5">
        <v>5279101952</v>
      </c>
      <c r="D17" s="5">
        <v>4712566784</v>
      </c>
    </row>
    <row r="18" spans="1:4" x14ac:dyDescent="0.3">
      <c r="A18" s="2" t="s">
        <v>24</v>
      </c>
      <c r="B18" s="6">
        <f>B16/B17</f>
        <v>1.6238069941622812E-2</v>
      </c>
      <c r="C18" s="6">
        <f>C16/C17</f>
        <v>1.6535757936428655E-2</v>
      </c>
      <c r="D18" s="6">
        <f>D16/D17</f>
        <v>1.7800507418761283E-2</v>
      </c>
    </row>
    <row r="19" spans="1:4" x14ac:dyDescent="0.3">
      <c r="A19" s="2" t="s">
        <v>25</v>
      </c>
      <c r="B19" s="7">
        <v>2.034192</v>
      </c>
      <c r="C19" s="7">
        <v>2.1346560000000001</v>
      </c>
      <c r="D19" s="7">
        <v>1.832441</v>
      </c>
    </row>
    <row r="20" spans="1:4" x14ac:dyDescent="0.3">
      <c r="A20" s="2" t="s">
        <v>26</v>
      </c>
      <c r="B20" s="7">
        <v>1.491079</v>
      </c>
      <c r="C20" s="7">
        <v>1.4956199999999999</v>
      </c>
      <c r="D20" s="7">
        <v>1.3840859999999999</v>
      </c>
    </row>
    <row r="21" spans="1:4" x14ac:dyDescent="0.3">
      <c r="A21" s="2" t="s">
        <v>27</v>
      </c>
      <c r="B21" s="7">
        <v>1.2194929999999999</v>
      </c>
      <c r="C21" s="7">
        <v>1.2526109999999999</v>
      </c>
      <c r="D21" s="7">
        <v>1.0746789999999999</v>
      </c>
    </row>
    <row r="22" spans="1:4" x14ac:dyDescent="0.3">
      <c r="A22" s="2" t="s">
        <v>28</v>
      </c>
      <c r="B22" s="7">
        <v>1.0507470000000001</v>
      </c>
      <c r="C22" s="7">
        <v>1.121248</v>
      </c>
      <c r="D22" s="7">
        <v>0.93673499999999998</v>
      </c>
    </row>
    <row r="23" spans="1:4" x14ac:dyDescent="0.3">
      <c r="A23" s="2" t="s">
        <v>29</v>
      </c>
      <c r="B23" s="7">
        <v>0.90023500000000001</v>
      </c>
      <c r="C23" s="7">
        <v>0.97016199999999997</v>
      </c>
      <c r="D23" s="7">
        <v>0.78131499999999998</v>
      </c>
    </row>
    <row r="24" spans="1:4" x14ac:dyDescent="0.3">
      <c r="A24" s="2" t="s">
        <v>30</v>
      </c>
      <c r="B24" s="7">
        <v>0.77592499999999998</v>
      </c>
      <c r="C24" s="7">
        <v>0.87440700000000005</v>
      </c>
      <c r="D24" s="7">
        <v>0.62920600000000004</v>
      </c>
    </row>
    <row r="25" spans="1:4" x14ac:dyDescent="0.3">
      <c r="A25" s="2" t="s">
        <v>31</v>
      </c>
      <c r="B25" s="7">
        <v>1.1857</v>
      </c>
      <c r="C25" s="7">
        <v>1.2529999999999999</v>
      </c>
      <c r="D25" s="8">
        <v>1.0478000000000001</v>
      </c>
    </row>
    <row r="26" spans="1:4" x14ac:dyDescent="0.3">
      <c r="A26" s="2" t="s">
        <v>32</v>
      </c>
      <c r="B26" s="9">
        <f>(B19-B25)/B19</f>
        <v>0.41711500192705508</v>
      </c>
      <c r="C26" s="9">
        <f>(C19-C25)/C19</f>
        <v>0.41302017748995629</v>
      </c>
      <c r="D26" s="9">
        <f>(D19-D25)/D19</f>
        <v>0.42819441389927421</v>
      </c>
    </row>
    <row r="27" spans="1:4" x14ac:dyDescent="0.3">
      <c r="A27" s="2" t="s">
        <v>33</v>
      </c>
      <c r="B27" s="10">
        <v>280.01</v>
      </c>
      <c r="C27" s="4">
        <v>380.55</v>
      </c>
      <c r="D27" s="4">
        <v>344.98</v>
      </c>
    </row>
    <row r="28" spans="1:4" x14ac:dyDescent="0.3">
      <c r="A28" s="2" t="s">
        <v>34</v>
      </c>
      <c r="B28" s="10">
        <v>4.67</v>
      </c>
      <c r="C28" s="4">
        <v>6.34</v>
      </c>
      <c r="D28" s="4">
        <v>5.75</v>
      </c>
    </row>
    <row r="29" spans="1:4" x14ac:dyDescent="0.3">
      <c r="A29" s="2" t="s">
        <v>35</v>
      </c>
      <c r="B29" s="4">
        <f>B27/B11</f>
        <v>4.0581159420289854</v>
      </c>
      <c r="C29" s="4">
        <f>C27/C11</f>
        <v>5.5152173913043478</v>
      </c>
      <c r="D29" s="4">
        <f>D27/D11</f>
        <v>4.9997101449275361</v>
      </c>
    </row>
    <row r="30" spans="1:4" x14ac:dyDescent="0.3">
      <c r="A30" s="2" t="s">
        <v>36</v>
      </c>
      <c r="B30" s="4">
        <f>B27/B8</f>
        <v>93.336666666666659</v>
      </c>
      <c r="C30" s="4">
        <f>C27/C8</f>
        <v>126.85000000000001</v>
      </c>
      <c r="D30" s="4">
        <f>D27/D8</f>
        <v>114.99333333333334</v>
      </c>
    </row>
    <row r="32" spans="1:4" ht="30" customHeight="1" x14ac:dyDescent="0.3">
      <c r="A32" s="16" t="s">
        <v>37</v>
      </c>
      <c r="B32" s="16"/>
      <c r="C32" s="16"/>
      <c r="D32" s="16"/>
    </row>
  </sheetData>
  <mergeCells count="2">
    <mergeCell ref="A1:D1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selection activeCell="I21" sqref="I21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6" customWidth="1"/>
    <col min="4" max="4" width="26" customWidth="1"/>
  </cols>
  <sheetData>
    <row r="1" spans="1:4" ht="25.5" customHeight="1" x14ac:dyDescent="0.3">
      <c r="A1" s="14" t="s">
        <v>40</v>
      </c>
      <c r="B1" s="14"/>
      <c r="C1" s="14"/>
      <c r="D1" s="14"/>
    </row>
    <row r="3" spans="1:4" ht="27.75" customHeight="1" x14ac:dyDescent="0.3">
      <c r="A3" s="1" t="s">
        <v>41</v>
      </c>
      <c r="B3" s="1" t="s">
        <v>2</v>
      </c>
      <c r="C3" s="1" t="s">
        <v>3</v>
      </c>
      <c r="D3" s="1" t="s">
        <v>4</v>
      </c>
    </row>
    <row r="4" spans="1:4" x14ac:dyDescent="0.3">
      <c r="A4" s="11">
        <v>10</v>
      </c>
      <c r="B4" s="12">
        <v>2.034192</v>
      </c>
      <c r="C4" s="12">
        <v>2.1346560000000001</v>
      </c>
      <c r="D4" s="12">
        <v>1.832441</v>
      </c>
    </row>
    <row r="5" spans="1:4" x14ac:dyDescent="0.3">
      <c r="A5" s="11">
        <v>20</v>
      </c>
      <c r="B5" s="12">
        <v>1.491079</v>
      </c>
      <c r="C5" s="12">
        <v>1.4956199999999999</v>
      </c>
      <c r="D5" s="12">
        <v>1.3840859999999999</v>
      </c>
    </row>
    <row r="6" spans="1:4" x14ac:dyDescent="0.3">
      <c r="A6" s="11">
        <v>30</v>
      </c>
      <c r="B6" s="12">
        <v>1.2194929999999999</v>
      </c>
      <c r="C6" s="12">
        <v>1.2526109999999999</v>
      </c>
      <c r="D6" s="12">
        <v>1.0746789999999999</v>
      </c>
    </row>
    <row r="7" spans="1:4" x14ac:dyDescent="0.3">
      <c r="A7" s="11">
        <v>40</v>
      </c>
      <c r="B7" s="12">
        <v>1.0507470000000001</v>
      </c>
      <c r="C7" s="12">
        <v>1.121248</v>
      </c>
      <c r="D7" s="12">
        <v>0.93673499999999998</v>
      </c>
    </row>
    <row r="8" spans="1:4" x14ac:dyDescent="0.3">
      <c r="A8" s="11">
        <v>50</v>
      </c>
      <c r="B8" s="12">
        <v>0.90023500000000001</v>
      </c>
      <c r="C8" s="12">
        <v>0.97016199999999997</v>
      </c>
      <c r="D8" s="12">
        <v>0.78131499999999998</v>
      </c>
    </row>
    <row r="9" spans="1:4" x14ac:dyDescent="0.3">
      <c r="A9" s="11">
        <v>60</v>
      </c>
      <c r="B9" s="12">
        <v>0.77592499999999998</v>
      </c>
      <c r="C9" s="12">
        <v>0.87440700000000005</v>
      </c>
      <c r="D9" s="12">
        <v>0.62920600000000004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zoomScaleNormal="10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defaultColWidth="8.6640625" defaultRowHeight="14.4" x14ac:dyDescent="0.3"/>
  <cols>
    <col min="1" max="1" width="34" customWidth="1"/>
    <col min="2" max="4" width="40" customWidth="1"/>
  </cols>
  <sheetData>
    <row r="1" spans="1:4" ht="25.5" customHeight="1" x14ac:dyDescent="0.3">
      <c r="A1" s="17" t="s">
        <v>38</v>
      </c>
      <c r="B1" s="17"/>
      <c r="C1" s="17"/>
      <c r="D1" s="17"/>
    </row>
    <row r="3" spans="1:4" ht="27.7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3" t="s">
        <v>6</v>
      </c>
      <c r="C4" s="3" t="s">
        <v>7</v>
      </c>
      <c r="D4" s="3" t="s">
        <v>8</v>
      </c>
    </row>
    <row r="5" spans="1:4" x14ac:dyDescent="0.3">
      <c r="A5" s="2" t="s">
        <v>9</v>
      </c>
      <c r="B5" s="3" t="s">
        <v>10</v>
      </c>
      <c r="C5" s="3" t="s">
        <v>10</v>
      </c>
      <c r="D5" s="3" t="s">
        <v>10</v>
      </c>
    </row>
    <row r="6" spans="1:4" x14ac:dyDescent="0.3">
      <c r="A6" s="2" t="s">
        <v>11</v>
      </c>
      <c r="B6" s="3">
        <v>7608</v>
      </c>
      <c r="C6" s="3">
        <v>7608</v>
      </c>
      <c r="D6" s="3">
        <v>7608</v>
      </c>
    </row>
    <row r="7" spans="1:4" x14ac:dyDescent="0.3">
      <c r="A7" s="2" t="s">
        <v>12</v>
      </c>
      <c r="B7" s="3" t="s">
        <v>13</v>
      </c>
      <c r="C7" s="3" t="s">
        <v>13</v>
      </c>
      <c r="D7" s="3" t="s">
        <v>13</v>
      </c>
    </row>
    <row r="8" spans="1:4" x14ac:dyDescent="0.3">
      <c r="A8" s="2" t="s">
        <v>14</v>
      </c>
      <c r="B8" s="3">
        <v>3</v>
      </c>
      <c r="C8" s="3">
        <v>3</v>
      </c>
      <c r="D8" s="3">
        <v>3</v>
      </c>
    </row>
    <row r="9" spans="1:4" x14ac:dyDescent="0.3">
      <c r="A9" s="2" t="s">
        <v>15</v>
      </c>
      <c r="B9" s="3">
        <v>1</v>
      </c>
      <c r="C9" s="3">
        <v>1</v>
      </c>
      <c r="D9" s="3">
        <v>1</v>
      </c>
    </row>
    <row r="10" spans="1:4" x14ac:dyDescent="0.3">
      <c r="A10" s="2" t="s">
        <v>16</v>
      </c>
      <c r="B10" s="3">
        <v>16</v>
      </c>
      <c r="C10" s="3">
        <v>16</v>
      </c>
      <c r="D10" s="3">
        <v>16</v>
      </c>
    </row>
    <row r="11" spans="1:4" x14ac:dyDescent="0.3">
      <c r="A11" s="2" t="s">
        <v>17</v>
      </c>
      <c r="B11" s="3">
        <v>72</v>
      </c>
      <c r="C11" s="3">
        <v>72</v>
      </c>
      <c r="D11" s="3">
        <v>72</v>
      </c>
    </row>
    <row r="12" spans="1:4" x14ac:dyDescent="0.3">
      <c r="A12" s="2" t="s">
        <v>18</v>
      </c>
      <c r="B12" s="3">
        <v>28</v>
      </c>
      <c r="C12" s="3">
        <v>36</v>
      </c>
      <c r="D12" s="3">
        <v>32</v>
      </c>
    </row>
    <row r="13" spans="1:4" x14ac:dyDescent="0.3">
      <c r="A13" s="2" t="s">
        <v>19</v>
      </c>
      <c r="B13" s="3">
        <v>32</v>
      </c>
      <c r="C13" s="3">
        <v>32</v>
      </c>
      <c r="D13" s="3">
        <v>32</v>
      </c>
    </row>
    <row r="14" spans="1:4" x14ac:dyDescent="0.3">
      <c r="A14" s="2" t="s">
        <v>20</v>
      </c>
      <c r="B14" s="3">
        <v>64</v>
      </c>
      <c r="C14" s="3">
        <v>64</v>
      </c>
      <c r="D14" s="3">
        <v>64</v>
      </c>
    </row>
    <row r="15" spans="1:4" x14ac:dyDescent="0.3">
      <c r="A15" s="2" t="s">
        <v>21</v>
      </c>
      <c r="B15" s="4">
        <v>0.05</v>
      </c>
      <c r="C15" s="4">
        <v>0.05</v>
      </c>
      <c r="D15" s="4">
        <v>0.05</v>
      </c>
    </row>
    <row r="16" spans="1:4" x14ac:dyDescent="0.3">
      <c r="A16" s="2" t="s">
        <v>22</v>
      </c>
      <c r="B16" s="5">
        <v>80740352</v>
      </c>
      <c r="C16" s="5">
        <v>87293952</v>
      </c>
      <c r="D16" s="5">
        <v>83886080</v>
      </c>
    </row>
    <row r="17" spans="1:4" x14ac:dyDescent="0.3">
      <c r="A17" s="2" t="s">
        <v>23</v>
      </c>
      <c r="B17" s="5">
        <v>4972287488</v>
      </c>
      <c r="C17" s="5">
        <v>5279101952</v>
      </c>
      <c r="D17" s="5">
        <v>4712566784</v>
      </c>
    </row>
    <row r="18" spans="1:4" x14ac:dyDescent="0.3">
      <c r="A18" s="2" t="s">
        <v>24</v>
      </c>
      <c r="B18" s="6">
        <f>B16/B17</f>
        <v>1.6238069941622812E-2</v>
      </c>
      <c r="C18" s="6">
        <f>C16/C17</f>
        <v>1.6535757936428655E-2</v>
      </c>
      <c r="D18" s="6">
        <f>D16/D17</f>
        <v>1.7800507418761283E-2</v>
      </c>
    </row>
    <row r="19" spans="1:4" x14ac:dyDescent="0.3">
      <c r="A19" s="2" t="s">
        <v>25</v>
      </c>
      <c r="B19" s="7">
        <v>2.0398230000000002</v>
      </c>
      <c r="C19" s="7">
        <v>2.1931289999999999</v>
      </c>
      <c r="D19" s="7">
        <v>1.8987019999999999</v>
      </c>
    </row>
    <row r="20" spans="1:4" x14ac:dyDescent="0.3">
      <c r="A20" s="2" t="s">
        <v>26</v>
      </c>
      <c r="B20" s="7">
        <v>1.5163709999999999</v>
      </c>
      <c r="C20" s="7">
        <v>1.5362309999999999</v>
      </c>
      <c r="D20" s="7">
        <v>1.3997839999999999</v>
      </c>
    </row>
    <row r="21" spans="1:4" x14ac:dyDescent="0.3">
      <c r="A21" s="2" t="s">
        <v>27</v>
      </c>
      <c r="B21" s="7">
        <v>1.1962520000000001</v>
      </c>
      <c r="C21" s="7">
        <v>1.2443869999999999</v>
      </c>
      <c r="D21" s="7">
        <v>1.10859</v>
      </c>
    </row>
    <row r="22" spans="1:4" x14ac:dyDescent="0.3">
      <c r="A22" s="2" t="s">
        <v>28</v>
      </c>
      <c r="B22" s="7">
        <v>1.0577460000000001</v>
      </c>
      <c r="C22" s="7">
        <v>1.133405</v>
      </c>
      <c r="D22" s="7">
        <v>0.953376</v>
      </c>
    </row>
    <row r="23" spans="1:4" x14ac:dyDescent="0.3">
      <c r="A23" s="2" t="s">
        <v>29</v>
      </c>
      <c r="B23" s="7">
        <v>1.0418510000000001</v>
      </c>
      <c r="C23" s="7">
        <v>1.111192</v>
      </c>
      <c r="D23" s="7">
        <v>0.84875800000000001</v>
      </c>
    </row>
    <row r="24" spans="1:4" x14ac:dyDescent="0.3">
      <c r="A24" s="2" t="s">
        <v>30</v>
      </c>
      <c r="B24" s="7">
        <v>0.78368400000000005</v>
      </c>
      <c r="C24" s="7">
        <v>0.87799499999999997</v>
      </c>
      <c r="D24" s="7">
        <v>0.60974200000000001</v>
      </c>
    </row>
    <row r="25" spans="1:4" x14ac:dyDescent="0.3">
      <c r="A25" s="2" t="s">
        <v>39</v>
      </c>
      <c r="B25" s="7">
        <v>0.76998699999999998</v>
      </c>
      <c r="C25" s="7">
        <v>0.87429199999999996</v>
      </c>
      <c r="D25" s="7">
        <v>0.642181</v>
      </c>
    </row>
    <row r="26" spans="1:4" x14ac:dyDescent="0.3">
      <c r="A26" s="2" t="s">
        <v>31</v>
      </c>
      <c r="B26" s="7">
        <v>1.1872</v>
      </c>
      <c r="C26" s="7">
        <v>1.2688999999999999</v>
      </c>
      <c r="D26" s="8">
        <v>1.0552999999999999</v>
      </c>
    </row>
    <row r="27" spans="1:4" x14ac:dyDescent="0.3">
      <c r="A27" s="2" t="s">
        <v>32</v>
      </c>
      <c r="B27" s="9">
        <f>(B19-B26)/B19</f>
        <v>0.41798871764854112</v>
      </c>
      <c r="C27" s="9">
        <f>(C19-C26)/C19</f>
        <v>0.42142026301234448</v>
      </c>
      <c r="D27" s="9">
        <f>(D19-D26)/D19</f>
        <v>0.44419924769658431</v>
      </c>
    </row>
    <row r="28" spans="1:4" x14ac:dyDescent="0.3">
      <c r="A28" s="2" t="s">
        <v>33</v>
      </c>
      <c r="B28" s="10">
        <v>288.89</v>
      </c>
      <c r="C28" s="4">
        <v>358.37</v>
      </c>
      <c r="D28" s="4">
        <v>354.32</v>
      </c>
    </row>
    <row r="29" spans="1:4" x14ac:dyDescent="0.3">
      <c r="A29" s="2" t="s">
        <v>34</v>
      </c>
      <c r="B29" s="10">
        <v>4.8099999999999996</v>
      </c>
      <c r="C29" s="4">
        <v>5.97</v>
      </c>
      <c r="D29" s="4">
        <v>5.91</v>
      </c>
    </row>
    <row r="30" spans="1:4" x14ac:dyDescent="0.3">
      <c r="A30" s="2" t="s">
        <v>35</v>
      </c>
      <c r="B30" s="4">
        <f>B28/B11</f>
        <v>4.0123611111111108</v>
      </c>
      <c r="C30" s="4">
        <f>C28/C11</f>
        <v>4.9773611111111116</v>
      </c>
      <c r="D30" s="4">
        <f>D28/D11</f>
        <v>4.9211111111111112</v>
      </c>
    </row>
    <row r="31" spans="1:4" x14ac:dyDescent="0.3">
      <c r="A31" s="2" t="s">
        <v>36</v>
      </c>
      <c r="B31" s="4">
        <f>B28/B8</f>
        <v>96.296666666666667</v>
      </c>
      <c r="C31" s="4">
        <f>C28/C8</f>
        <v>119.45666666666666</v>
      </c>
      <c r="D31" s="4">
        <f>D28/D8</f>
        <v>118.10666666666667</v>
      </c>
    </row>
    <row r="33" spans="1:4" ht="30" customHeight="1" x14ac:dyDescent="0.3">
      <c r="A33" s="16" t="s">
        <v>37</v>
      </c>
      <c r="B33" s="16"/>
      <c r="C33" s="16"/>
      <c r="D33" s="16"/>
    </row>
  </sheetData>
  <mergeCells count="2">
    <mergeCell ref="A1:D1"/>
    <mergeCell ref="A33:D3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Normal="100" workbookViewId="0">
      <selection sqref="A1:D1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6" customWidth="1"/>
    <col min="4" max="4" width="26" customWidth="1"/>
  </cols>
  <sheetData>
    <row r="1" spans="1:4" ht="25.5" customHeight="1" x14ac:dyDescent="0.3">
      <c r="A1" s="17" t="s">
        <v>42</v>
      </c>
      <c r="B1" s="17"/>
      <c r="C1" s="17"/>
      <c r="D1" s="17"/>
    </row>
    <row r="3" spans="1:4" ht="27.75" customHeight="1" x14ac:dyDescent="0.3">
      <c r="A3" s="1" t="s">
        <v>41</v>
      </c>
      <c r="B3" s="1" t="s">
        <v>2</v>
      </c>
      <c r="C3" s="1" t="s">
        <v>3</v>
      </c>
      <c r="D3" s="1" t="s">
        <v>4</v>
      </c>
    </row>
    <row r="4" spans="1:4" x14ac:dyDescent="0.3">
      <c r="A4" s="11">
        <v>10</v>
      </c>
      <c r="B4" s="12">
        <v>2.0398230000000002</v>
      </c>
      <c r="C4" s="12">
        <v>2.1931289999999999</v>
      </c>
      <c r="D4" s="12">
        <v>1.8987019999999999</v>
      </c>
    </row>
    <row r="5" spans="1:4" x14ac:dyDescent="0.3">
      <c r="A5" s="11">
        <v>20</v>
      </c>
      <c r="B5" s="12">
        <v>1.5163709999999999</v>
      </c>
      <c r="C5" s="12">
        <v>1.5362309999999999</v>
      </c>
      <c r="D5" s="12">
        <v>1.3997839999999999</v>
      </c>
    </row>
    <row r="6" spans="1:4" x14ac:dyDescent="0.3">
      <c r="A6" s="11">
        <v>30</v>
      </c>
      <c r="B6" s="12">
        <v>1.1962520000000001</v>
      </c>
      <c r="C6" s="12">
        <v>1.2443869999999999</v>
      </c>
      <c r="D6" s="12">
        <v>1.10859</v>
      </c>
    </row>
    <row r="7" spans="1:4" x14ac:dyDescent="0.3">
      <c r="A7" s="11">
        <v>40</v>
      </c>
      <c r="B7" s="12">
        <v>1.0577460000000001</v>
      </c>
      <c r="C7" s="12">
        <v>1.133405</v>
      </c>
      <c r="D7" s="12">
        <v>0.953376</v>
      </c>
    </row>
    <row r="8" spans="1:4" x14ac:dyDescent="0.3">
      <c r="A8" s="11">
        <v>50</v>
      </c>
      <c r="B8" s="12">
        <v>1.0418510000000001</v>
      </c>
      <c r="C8" s="12">
        <v>1.111192</v>
      </c>
      <c r="D8" s="12">
        <v>0.84875800000000001</v>
      </c>
    </row>
    <row r="9" spans="1:4" x14ac:dyDescent="0.3">
      <c r="A9" s="11">
        <v>60</v>
      </c>
      <c r="B9" s="12">
        <v>0.78368400000000005</v>
      </c>
      <c r="C9" s="12">
        <v>0.87799499999999997</v>
      </c>
      <c r="D9" s="12">
        <v>0.60974200000000001</v>
      </c>
    </row>
    <row r="10" spans="1:4" x14ac:dyDescent="0.3">
      <c r="A10" s="11">
        <v>70</v>
      </c>
      <c r="B10" s="12">
        <v>0.76998699999999998</v>
      </c>
      <c r="C10" s="12">
        <v>0.87429199999999996</v>
      </c>
      <c r="D10" s="12">
        <v>0.642181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 Team Comparison</vt:lpstr>
      <vt:lpstr>Red Loss Curve</vt:lpstr>
      <vt:lpstr>Blue Team Comparison</vt:lpstr>
      <vt:lpstr>Blue Loss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Madhav Mantri</cp:lastModifiedBy>
  <cp:revision>1</cp:revision>
  <dcterms:created xsi:type="dcterms:W3CDTF">2026-08-02T16:27:12Z</dcterms:created>
  <dcterms:modified xsi:type="dcterms:W3CDTF">2026-08-04T03:21:43Z</dcterms:modified>
  <dc:language>en-US</dc:language>
</cp:coreProperties>
</file>